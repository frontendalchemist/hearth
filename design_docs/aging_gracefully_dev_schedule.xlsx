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Gantt Chart" sheetId="2" state="visible" r:id="rId4"/>
    <sheet name="Team &amp; Resourcing" sheetId="3" state="visible" r:id="rId5"/>
    <sheet name="Testing Plan" sheetId="4" state="visible" r:id="rId6"/>
    <sheet name="Launch Checklist" sheetId="5" state="visible" r:id="rId7"/>
    <sheet name="Success Metric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<sst xmlns="http://schemas.openxmlformats.org/spreadsheetml/2006/main" count="1143" uniqueCount="727">
  <si>
    <t xml:space="preserve">AGING GRACEFULLY — Development, Testing &amp; Launch Schedule</t>
  </si>
  <si>
    <t xml:space="preserve">5 Phases  ·  36 months  ·  MVP launch at Month 9</t>
  </si>
  <si>
    <t xml:space="preserve">Phase / Milestone</t>
  </si>
  <si>
    <t xml:space="preserve">Description</t>
  </si>
  <si>
    <t xml:space="preserve">Start</t>
  </si>
  <si>
    <t xml:space="preserve">End</t>
  </si>
  <si>
    <t xml:space="preserve">Duration</t>
  </si>
  <si>
    <t xml:space="preserve">Status</t>
  </si>
  <si>
    <t xml:space="preserve">Key deliverables</t>
  </si>
  <si>
    <t xml:space="preserve">PHASE 0 — FOUNDATION</t>
  </si>
  <si>
    <t xml:space="preserve">    0.1  Team assembly</t>
  </si>
  <si>
    <t xml:space="preserve">Hire founding engineering team: 2 fullstack, 1 backend, 1 mobile, 1 design, 1 DevOps, 1 QA</t>
  </si>
  <si>
    <t xml:space="preserve">Month 1</t>
  </si>
  <si>
    <t xml:space="preserve">Month 2</t>
  </si>
  <si>
    <t xml:space="preserve">2 mo</t>
  </si>
  <si>
    <t xml:space="preserve">Planning</t>
  </si>
  <si>
    <t xml:space="preserve">Offer letters signed; onboarding complete</t>
  </si>
  <si>
    <t xml:space="preserve">    0.2  Infrastructure setup</t>
  </si>
  <si>
    <t xml:space="preserve">AWS org, VPC, RDS Aurora, S3, CI/CD pipelines (GitHub Actions + ArgoCD), Terraform IaC baseline</t>
  </si>
  <si>
    <t xml:space="preserve">All environments provisioned; IaC in source control</t>
  </si>
  <si>
    <t xml:space="preserve">    0.3  Auth &amp; identity foundation</t>
  </si>
  <si>
    <t xml:space="preserve">Auth0 tenant, MFA flows, RBAC model, JWT infrastructure, session management</t>
  </si>
  <si>
    <t xml:space="preserve">Month 3</t>
  </si>
  <si>
    <t xml:space="preserve">Auth service deployed; MFA tested</t>
  </si>
  <si>
    <t xml:space="preserve">    0.4  Design system</t>
  </si>
  <si>
    <t xml:space="preserve">Figma component library, design tokens, accessibility annotations, WCAG 2.2 AA audit framework</t>
  </si>
  <si>
    <t xml:space="preserve">Design system published; all components annotated</t>
  </si>
  <si>
    <t xml:space="preserve">    0.5  Security baseline</t>
  </si>
  <si>
    <t xml:space="preserve">WAF, secrets management (AWS Secrets Manager), network segmentation, HIPAA gap assessment, BAA with AWS</t>
  </si>
  <si>
    <t xml:space="preserve">3 mo</t>
  </si>
  <si>
    <t xml:space="preserve">SOC2 Type I gap assessment; AWS BAA signed</t>
  </si>
  <si>
    <t xml:space="preserve">    0.6  Legal &amp; compliance</t>
  </si>
  <si>
    <t xml:space="preserve">Privacy policy, ToS, HIPAA counsel engaged, BAA templates drafted, TCPA/10DLC SMS registration</t>
  </si>
  <si>
    <t xml:space="preserve">Legal docs approved; 10DLC brand registration submitted</t>
  </si>
  <si>
    <t xml:space="preserve">    0.7  Data architecture</t>
  </si>
  <si>
    <t xml:space="preserve">PostgreSQL schema v1, encryption key management (KMS), audit log schema, FHIR data partition design</t>
  </si>
  <si>
    <t xml:space="preserve">Schema migrated; encryption validated; audit log live</t>
  </si>
  <si>
    <t xml:space="preserve">PHASE 1 — MVP</t>
  </si>
  <si>
    <t xml:space="preserve">    Sprint 1–2  (Wk 1–4): Vault foundation</t>
  </si>
  <si>
    <t xml:space="preserve">Document upload, S3 storage with SSE-KMS, auto-categorization ML model, metadata schema, profile creation</t>
  </si>
  <si>
    <t xml:space="preserve">Month 4</t>
  </si>
  <si>
    <t xml:space="preserve">Not started</t>
  </si>
  <si>
    <t xml:space="preserve">File upload with progress; auto-cat with &gt;80% accuracy; profile CRUD</t>
  </si>
  <si>
    <t xml:space="preserve">    Sprint 3–4  (Wk 5–8): Vault features</t>
  </si>
  <si>
    <t xml:space="preserve">Smart tagging UI, document checklist, expiration alerts, multi-person profiles, basic permissions model</t>
  </si>
  <si>
    <t xml:space="preserve">Month 5</t>
  </si>
  <si>
    <t xml:space="preserve">Checklist live; expiry email alerts; 2-person vault sharing</t>
  </si>
  <si>
    <t xml:space="preserve">    Sprint 5–6  (Wk 9–12): Health Hub core</t>
  </si>
  <si>
    <t xml:space="preserve">Health profile builder, medication tracker, provider directory, appointment log, screening schedule engine</t>
  </si>
  <si>
    <t xml:space="preserve">Month 6</t>
  </si>
  <si>
    <t xml:space="preserve">Medication tracker with reminders; provider list; screening calendar</t>
  </si>
  <si>
    <t xml:space="preserve">    Sprint 7–8  (Wk 13–16): AI assistant v1</t>
  </si>
  <si>
    <t xml:space="preserve">Claude API integration, document Q&amp;A, health profile Q&amp;A, PII stripping pipeline, streaming response UI</t>
  </si>
  <si>
    <t xml:space="preserve">Month 7</t>
  </si>
  <si>
    <t xml:space="preserve">AI answers document questions; PII never in LLM logs; &lt;4s P95</t>
  </si>
  <si>
    <t xml:space="preserve">    Sprint 9–10  (Wk 17–20): Stage navigator</t>
  </si>
  <si>
    <t xml:space="preserve">5-stage care model content, warning signs library, milestone conversation guides, normal vs. concern guide</t>
  </si>
  <si>
    <t xml:space="preserve">Month 8</t>
  </si>
  <si>
    <t xml:space="preserve">All 5 stages with content; 12 conversation guides published</t>
  </si>
  <si>
    <t xml:space="preserve">    Sprint 11  (Wk 21–22): Emergency share</t>
  </si>
  <si>
    <t xml:space="preserve">One-tap emergency packet (PDF generation), time-limited share links, offline cache for mobile</t>
  </si>
  <si>
    <t xml:space="preserve">1 mo</t>
  </si>
  <si>
    <t xml:space="preserve">Emergency packet generated in &lt;5s; share link with 48hr TTL</t>
  </si>
  <si>
    <t xml:space="preserve">    Sprint 12  (Wk 23–24): MVP polish &amp; hardening</t>
  </si>
  <si>
    <t xml:space="preserve">Performance optimization, a11y audit pass, cross-browser testing, load testing, bug bash, security scan</t>
  </si>
  <si>
    <t xml:space="preserve">Month 9</t>
  </si>
  <si>
    <t xml:space="preserve">LCP&lt;2.5s; Lighthouse a11y &gt;95; 0 P0/P1 bugs; pen test passed</t>
  </si>
  <si>
    <t xml:space="preserve">    MVP Alpha testing (internal)</t>
  </si>
  <si>
    <t xml:space="preserve">Dog-fooding with team + advisors; structured feedback sessions; issue triage</t>
  </si>
  <si>
    <t xml:space="preserve">Alpha test report; P0 bug list resolved</t>
  </si>
  <si>
    <t xml:space="preserve">    MVP Beta testing (50 families)</t>
  </si>
  <si>
    <t xml:space="preserve">Closed beta with 50 recruited caregiver families; NPS measurement; accessibility user testing</t>
  </si>
  <si>
    <t xml:space="preserve">NPS baseline; beta feedback synthesized; go/no-go decision</t>
  </si>
  <si>
    <t xml:space="preserve">MVP LAUNCH</t>
  </si>
  <si>
    <t xml:space="preserve">Public launch — web app + iOS + Android</t>
  </si>
  <si>
    <t xml:space="preserve">Press release; Product Hunt launch; 1,000 user target Month 1</t>
  </si>
  <si>
    <t xml:space="preserve">PHASE 2 — GROWTH</t>
  </si>
  <si>
    <t xml:space="preserve">    Care Finder v1</t>
  </si>
  <si>
    <t xml:space="preserve">Facility search &amp; directory (Google Places + CMS Care Compare data), care type explainers, facility comparison tool</t>
  </si>
  <si>
    <t xml:space="preserve">Month 10</t>
  </si>
  <si>
    <t xml:space="preserve">Month 12</t>
  </si>
  <si>
    <t xml:space="preserve">Search live in all 50 states; CMS star ratings integrated</t>
  </si>
  <si>
    <t xml:space="preserve">    Care Finder v2</t>
  </si>
  <si>
    <t xml:space="preserve">Facility tour checklist, red flags guide, in-home agency directory, save &amp; shortlist feature, transition guides</t>
  </si>
  <si>
    <t xml:space="preserve">Month 13</t>
  </si>
  <si>
    <t xml:space="preserve">Tour checklist; agency search; shareable shortlist</t>
  </si>
  <si>
    <t xml:space="preserve">    Money &amp; Coverage v1</t>
  </si>
  <si>
    <t xml:space="preserve">Medicare explainer, LTC insurance guide, cost estimator (Genworth data), benefits finder (VA, PACE, LIS)</t>
  </si>
  <si>
    <t xml:space="preserve">Medicare guide; cost estimator by state; VA benefits screener</t>
  </si>
  <si>
    <t xml:space="preserve">    Money &amp; Coverage v2</t>
  </si>
  <si>
    <t xml:space="preserve">Medicaid navigator, caregiver tax guide, insurance portal API v1, open enrollment reminders</t>
  </si>
  <si>
    <t xml:space="preserve">Month 15</t>
  </si>
  <si>
    <t xml:space="preserve">Medicaid state rules; EOB decoder; OEP reminder flow</t>
  </si>
  <si>
    <t xml:space="preserve">    Family Workspace</t>
  </si>
  <si>
    <t xml:space="preserve">Multi-member invitations, shared care log, task delegation, sibling coordination, family messaging</t>
  </si>
  <si>
    <t xml:space="preserve">Month 11</t>
  </si>
  <si>
    <t xml:space="preserve">3+ family members in shared workspace; task assign &amp; complete</t>
  </si>
  <si>
    <t xml:space="preserve">    SMS parent interface v1</t>
  </si>
  <si>
    <t xml:space="preserve">Twilio integration, outbound medication &amp; appointment reminders, STOP/opt-out, keyword response parser, 10DLC approval</t>
  </si>
  <si>
    <t xml:space="preserve">Month 14</t>
  </si>
  <si>
    <t xml:space="preserve">4 mo</t>
  </si>
  <si>
    <t xml:space="preserve">SMS reminders live; 2-way keyword responses; TCPA compliant</t>
  </si>
  <si>
    <t xml:space="preserve">    SMS parent interface v2</t>
  </si>
  <si>
    <t xml:space="preserve">WhatsApp Business API, MMS document delivery, secure document links, check-in messages, family relay</t>
  </si>
  <si>
    <t xml:space="preserve">Month 16</t>
  </si>
  <si>
    <t xml:space="preserve">WhatsApp live; document delivery via MMS; check-in with escalation</t>
  </si>
  <si>
    <t xml:space="preserve">    Voice call layer</t>
  </si>
  <si>
    <t xml:space="preserve">Twilio Voice + Polly TTS, automated medication reminder calls, DTMF responses, voicemail transcription</t>
  </si>
  <si>
    <t xml:space="preserve">Month 17</t>
  </si>
  <si>
    <t xml:space="preserve">Outbound voice calls; keypad confirm; transcription to caregiver</t>
  </si>
  <si>
    <t xml:space="preserve">    Plan for Yourself v1</t>
  </si>
  <si>
    <t xml:space="preserve">Aging plan builder wizard, advance directive builder (state templates), healthcare proxy guide, wishes journal</t>
  </si>
  <si>
    <t xml:space="preserve">AD builder for all 50 states; plan wizard complete; journal</t>
  </si>
  <si>
    <t xml:space="preserve">    Plan for Yourself v2</t>
  </si>
  <si>
    <t xml:space="preserve">Financial POA guide, LTC insurance evaluator, home modification planner, estate checklist</t>
  </si>
  <si>
    <t xml:space="preserve">Full self-planning suite live</t>
  </si>
  <si>
    <t xml:space="preserve">    FHIR integration v1</t>
  </si>
  <si>
    <t xml:space="preserve">Epic + Cerner app registration, SMART on FHIR auth flow, ingestion pipeline, normalization layer, Health Hub surface</t>
  </si>
  <si>
    <t xml:space="preserve">Month 18</t>
  </si>
  <si>
    <t xml:space="preserve">6 mo</t>
  </si>
  <si>
    <t xml:space="preserve">Epic &amp; Cerner connected; medications/conditions/labs auto-imported</t>
  </si>
  <si>
    <t xml:space="preserve">    AI assistant v2</t>
  </si>
  <si>
    <t xml:space="preserve">Personalized guidance (profile-aware), conversation prep assistant, medication explainer, proactive nudges, summary generator</t>
  </si>
  <si>
    <t xml:space="preserve">Profile-aware answers; appointment prep; weekly nudge digest</t>
  </si>
  <si>
    <t xml:space="preserve">    DocuSign integration</t>
  </si>
  <si>
    <t xml:space="preserve">eSign integration for advance directives, POA docs, facility contracts; auto-file to Vault on completion</t>
  </si>
  <si>
    <t xml:space="preserve">Sign &amp; file advance directive in-platform</t>
  </si>
  <si>
    <t xml:space="preserve">Phase 2 QA sprint</t>
  </si>
  <si>
    <t xml:space="preserve">Full regression testing, load test (10k concurrent), a11y audit, security pen test #2, WCAG audit by 3rd party</t>
  </si>
  <si>
    <t xml:space="preserve">Zero P0/P1; Lighthouse a11y &gt;97; pen test clean; WCAG report</t>
  </si>
  <si>
    <t xml:space="preserve">Phase 2 milestones</t>
  </si>
  <si>
    <t xml:space="preserve">10,000 active families; $1M ARR; NPS &gt;65; employer pilot launched (5 companies)</t>
  </si>
  <si>
    <t xml:space="preserve">ARR dashboard; employer dashboard live</t>
  </si>
  <si>
    <t xml:space="preserve">PHASE 3 — SCALE</t>
  </si>
  <si>
    <t xml:space="preserve">    Employer benefit channel</t>
  </si>
  <si>
    <t xml:space="preserve">SSO/SAML integration, Teams + Slack bots for nudges, HR admin dashboard, usage reporting, bulk onboarding</t>
  </si>
  <si>
    <t xml:space="preserve">Month 19</t>
  </si>
  <si>
    <t xml:space="preserve">Month 22</t>
  </si>
  <si>
    <t xml:space="preserve">20 employer accounts; HR dashboard; SAML SSO live</t>
  </si>
  <si>
    <t xml:space="preserve">    Alexa skill v1</t>
  </si>
  <si>
    <t xml:space="preserve">Alexa Skills Kit integration, proactive medication reminders via Alexa, family message delivery, check-in responses</t>
  </si>
  <si>
    <t xml:space="preserve">Month 21</t>
  </si>
  <si>
    <t xml:space="preserve">Alexa skill certified; proactive reminders; 2-way check-ins</t>
  </si>
  <si>
    <t xml:space="preserve">    Google Home action</t>
  </si>
  <si>
    <t xml:space="preserve">Google Actions SDK, same feature parity as Alexa skill, Nest Hub display support</t>
  </si>
  <si>
    <t xml:space="preserve">Month 23</t>
  </si>
  <si>
    <t xml:space="preserve">Google action approved; full feature parity with Alexa</t>
  </si>
  <si>
    <t xml:space="preserve">    AI voice conversation</t>
  </si>
  <si>
    <t xml:space="preserve">Deepgram STT + Claude streaming + Polly TTS for 2-way voice AI calls, emergency keyword detection</t>
  </si>
  <si>
    <t xml:space="preserve">Month 25</t>
  </si>
  <si>
    <t xml:space="preserve">Voice AI conversation live; emergency detection accuracy &gt;95%</t>
  </si>
  <si>
    <t xml:space="preserve">    FHIR expansion v2</t>
  </si>
  <si>
    <t xml:space="preserve">Athenahealth, Allscripts, eClinicalWorks, CMS Blue Button 2.0, CommonWell connection</t>
  </si>
  <si>
    <t xml:space="preserve">Month 20</t>
  </si>
  <si>
    <t xml:space="preserve">Month 24</t>
  </si>
  <si>
    <t xml:space="preserve">5 mo</t>
  </si>
  <si>
    <t xml:space="preserve">8+ EHR systems connected; Blue Button live for Medicare users</t>
  </si>
  <si>
    <t xml:space="preserve">    Pharmacy / Surescripts API</t>
  </si>
  <si>
    <t xml:space="preserve">Active prescription pull from pharmacy network, refill auto-alerts, cross-pharmacy reconciliation</t>
  </si>
  <si>
    <t xml:space="preserve">Prescriptions auto-imported from major pharmacy chains</t>
  </si>
  <si>
    <t xml:space="preserve">    Trusted provider marketplace</t>
  </si>
  <si>
    <t xml:space="preserve">Eldercare attorneys, GCMs, senior move managers: vetted directory, booking integration, referral revenue tracking</t>
  </si>
  <si>
    <t xml:space="preserve">500 vetted providers; in-platform booking; revenue reporting</t>
  </si>
  <si>
    <t xml:space="preserve">    Mobile app v2</t>
  </si>
  <si>
    <t xml:space="preserve">Native iOS/Android rebuild (Swift/Kotlin), biometric auth, document scanner, offline vault, widget support</t>
  </si>
  <si>
    <t xml:space="preserve">App Store rating &gt;4.5; offline vault; camera scanner</t>
  </si>
  <si>
    <t xml:space="preserve">    Plaid financial integration</t>
  </si>
  <si>
    <t xml:space="preserve">Read-only bank/investment account view, anomaly detection for elder financial abuse, care cost tracking</t>
  </si>
  <si>
    <t xml:space="preserve">Month 26</t>
  </si>
  <si>
    <t xml:space="preserve">Financial safety alerts; balance view; cost vs. budget tracker</t>
  </si>
  <si>
    <t xml:space="preserve">    Community &amp; peer support</t>
  </si>
  <si>
    <t xml:space="preserve">Moderated caregiver forums, peer matching by care situation, expert Q&amp;A (social workers, eldercare attorneys)</t>
  </si>
  <si>
    <t xml:space="preserve">1,000 active forum members; weekly expert Q&amp;A</t>
  </si>
  <si>
    <t xml:space="preserve">Phase 3 QA &amp; scale testing</t>
  </si>
  <si>
    <t xml:space="preserve">Load test (100k concurrent), chaos engineering, disaster recovery drill, full a11y re-audit, SOC2 Type II observation begins</t>
  </si>
  <si>
    <t xml:space="preserve">Month 27</t>
  </si>
  <si>
    <t xml:space="preserve">99.9% uptime validated; DR RTO &lt;1hr; SOC2 audit started</t>
  </si>
  <si>
    <t xml:space="preserve">Phase 3 milestones</t>
  </si>
  <si>
    <t xml:space="preserve">50,000 active families; $5M ARR; 100 employer accounts; profitable unit economics</t>
  </si>
  <si>
    <t xml:space="preserve">PHASE 4 — EXPANSION</t>
  </si>
  <si>
    <t xml:space="preserve">    SOC 2 Type II certification</t>
  </si>
  <si>
    <t xml:space="preserve">Complete SOC 2 Type II audit (12-month observation period); publish VPAT 2.4 accessibility conformance report</t>
  </si>
  <si>
    <t xml:space="preserve">Month 28</t>
  </si>
  <si>
    <t xml:space="preserve">Month 30</t>
  </si>
  <si>
    <t xml:space="preserve">SOC 2 Type II report issued; VPAT published</t>
  </si>
  <si>
    <t xml:space="preserve">    Clinical partnership program</t>
  </si>
  <si>
    <t xml:space="preserve">EHR-embedded care coordination tools, hospital discharge planning integration, ACO/MSSP partnerships</t>
  </si>
  <si>
    <t xml:space="preserve">Month 32</t>
  </si>
  <si>
    <t xml:space="preserve">3 health system partnerships; embedded workflow live</t>
  </si>
  <si>
    <t xml:space="preserve">    Predictive health insights</t>
  </si>
  <si>
    <t xml:space="preserve">ML models for care transition prediction, hospitalization risk, medication adherence forecasting</t>
  </si>
  <si>
    <t xml:space="preserve">Month 29</t>
  </si>
  <si>
    <t xml:space="preserve">Month 33</t>
  </si>
  <si>
    <t xml:space="preserve">Risk scores for transition prediction (AUC &gt;0.75)</t>
  </si>
  <si>
    <t xml:space="preserve">    Platform API (developer)</t>
  </si>
  <si>
    <t xml:space="preserve">Public API for eldercare app ecosystem, webhooks, sandbox environment, developer documentation</t>
  </si>
  <si>
    <t xml:space="preserve">Public API GA; 10 third-party integrations</t>
  </si>
  <si>
    <t xml:space="preserve">    International — Canada</t>
  </si>
  <si>
    <t xml:space="preserve">PIPEDA compliance, provincial health record integration, French language support (Quebec)</t>
  </si>
  <si>
    <t xml:space="preserve">Month 34</t>
  </si>
  <si>
    <t xml:space="preserve">Canada launch; French content complete</t>
  </si>
  <si>
    <t xml:space="preserve">    International — UK</t>
  </si>
  <si>
    <t xml:space="preserve">GDPR/UK GDPR compliance, NHS record integration (GP Connect FHIR), UK care provider directory</t>
  </si>
  <si>
    <t xml:space="preserve">Month 36</t>
  </si>
  <si>
    <t xml:space="preserve">UK launch; NHS integration live</t>
  </si>
  <si>
    <t xml:space="preserve">Phase 4 milestones</t>
  </si>
  <si>
    <t xml:space="preserve">150,000 active families; $20M ARR; SOC2 certified; Series B fundraise</t>
  </si>
  <si>
    <t xml:space="preserve">STATUS LEGEND</t>
  </si>
  <si>
    <t xml:space="preserve">  Planning</t>
  </si>
  <si>
    <t xml:space="preserve">  Not started</t>
  </si>
  <si>
    <t xml:space="preserve">  In Progress</t>
  </si>
  <si>
    <t xml:space="preserve">  Complete</t>
  </si>
  <si>
    <t xml:space="preserve">AGING GRACEFULLY — Development Gantt  (36 months)</t>
  </si>
  <si>
    <t xml:space="preserve">Q1</t>
  </si>
  <si>
    <t xml:space="preserve">Q2</t>
  </si>
  <si>
    <t xml:space="preserve">Q3</t>
  </si>
  <si>
    <t xml:space="preserve">Q4</t>
  </si>
  <si>
    <t xml:space="preserve">Q1 Y2</t>
  </si>
  <si>
    <t xml:space="preserve">Q2 Y2</t>
  </si>
  <si>
    <t xml:space="preserve">Q3 Y2</t>
  </si>
  <si>
    <t xml:space="preserve">Q4 Y2</t>
  </si>
  <si>
    <t xml:space="preserve">Q1 Y3</t>
  </si>
  <si>
    <t xml:space="preserve">Q2 Y3</t>
  </si>
  <si>
    <t xml:space="preserve">Q3 Y3</t>
  </si>
  <si>
    <t xml:space="preserve">Q4 Y3</t>
  </si>
  <si>
    <t xml:space="preserve">Type</t>
  </si>
  <si>
    <t xml:space="preserve">  Team assembly</t>
  </si>
  <si>
    <t xml:space="preserve">Dev</t>
  </si>
  <si>
    <t xml:space="preserve">  Infrastructure setup</t>
  </si>
  <si>
    <t xml:space="preserve">  Auth &amp; identity</t>
  </si>
  <si>
    <t xml:space="preserve">  Design system</t>
  </si>
  <si>
    <t xml:space="preserve">  Security baseline</t>
  </si>
  <si>
    <t xml:space="preserve">  Legal &amp; compliance</t>
  </si>
  <si>
    <t xml:space="preserve">  Data architecture</t>
  </si>
  <si>
    <t xml:space="preserve">  Vault foundation (Spr 1–2)</t>
  </si>
  <si>
    <t xml:space="preserve">  Vault features (Spr 3–4)</t>
  </si>
  <si>
    <t xml:space="preserve">  Health Hub core (Spr 5–6)</t>
  </si>
  <si>
    <t xml:space="preserve">  AI assistant v1 (Spr 7–8)</t>
  </si>
  <si>
    <t xml:space="preserve">  Stage Navigator (Spr 9–10)</t>
  </si>
  <si>
    <t xml:space="preserve">  Emergency share (Spr 11)</t>
  </si>
  <si>
    <t xml:space="preserve">  MVP polish &amp; hardening (Spr 12)</t>
  </si>
  <si>
    <t xml:space="preserve">  Alpha testing</t>
  </si>
  <si>
    <t xml:space="preserve">Test</t>
  </si>
  <si>
    <t xml:space="preserve">  Beta testing (50 families)</t>
  </si>
  <si>
    <t xml:space="preserve">  MVP LAUNCH</t>
  </si>
  <si>
    <t xml:space="preserve">Launch</t>
  </si>
  <si>
    <t xml:space="preserve">▲</t>
  </si>
  <si>
    <t xml:space="preserve">  Care Finder v1</t>
  </si>
  <si>
    <t xml:space="preserve">  Care Finder v2</t>
  </si>
  <si>
    <t xml:space="preserve">  Money &amp; Coverage v1</t>
  </si>
  <si>
    <t xml:space="preserve">  Money &amp; Coverage v2</t>
  </si>
  <si>
    <t xml:space="preserve">  Family Workspace</t>
  </si>
  <si>
    <t xml:space="preserve">  SMS parent interface v1</t>
  </si>
  <si>
    <t xml:space="preserve">  SMS parent interface v2</t>
  </si>
  <si>
    <t xml:space="preserve">  Voice call layer</t>
  </si>
  <si>
    <t xml:space="preserve">  Plan for Yourself v1</t>
  </si>
  <si>
    <t xml:space="preserve">  Plan for Yourself v2</t>
  </si>
  <si>
    <t xml:space="preserve">  FHIR integration v1</t>
  </si>
  <si>
    <t xml:space="preserve">  AI assistant v2</t>
  </si>
  <si>
    <t xml:space="preserve">  DocuSign integration</t>
  </si>
  <si>
    <t xml:space="preserve">  Phase 2 QA sprint</t>
  </si>
  <si>
    <t xml:space="preserve">  Phase 2 milestone ✓</t>
  </si>
  <si>
    <t xml:space="preserve">  Employer benefit channel</t>
  </si>
  <si>
    <t xml:space="preserve">  Alexa skill v1</t>
  </si>
  <si>
    <t xml:space="preserve">  Google Home action</t>
  </si>
  <si>
    <t xml:space="preserve">  AI voice conversation</t>
  </si>
  <si>
    <t xml:space="preserve">  FHIR expansion v2</t>
  </si>
  <si>
    <t xml:space="preserve">  Pharmacy / Surescripts API</t>
  </si>
  <si>
    <t xml:space="preserve">  Trusted provider marketplace</t>
  </si>
  <si>
    <t xml:space="preserve">  Mobile app v2</t>
  </si>
  <si>
    <t xml:space="preserve">  Plaid financial integration</t>
  </si>
  <si>
    <t xml:space="preserve">  Community &amp; peer support</t>
  </si>
  <si>
    <t xml:space="preserve">  Phase 3 QA &amp; scale test</t>
  </si>
  <si>
    <t xml:space="preserve">  Phase 3 milestone ✓</t>
  </si>
  <si>
    <t xml:space="preserve">  SOC 2 Type II certification</t>
  </si>
  <si>
    <t xml:space="preserve">  Clinical partnerships</t>
  </si>
  <si>
    <t xml:space="preserve">  Predictive health insights</t>
  </si>
  <si>
    <t xml:space="preserve">  Platform API (developer)</t>
  </si>
  <si>
    <t xml:space="preserve">  International — Canada</t>
  </si>
  <si>
    <t xml:space="preserve">  International — UK</t>
  </si>
  <si>
    <t xml:space="preserve">  Phase 4 milestone ✓</t>
  </si>
  <si>
    <t xml:space="preserve">LEGEND</t>
  </si>
  <si>
    <t xml:space="preserve">  Development work</t>
  </si>
  <si>
    <t xml:space="preserve">  Testing / QA</t>
  </si>
  <si>
    <t xml:space="preserve">  Launch / milestone</t>
  </si>
  <si>
    <t xml:space="preserve">  Phase 0 — Foundation</t>
  </si>
  <si>
    <t xml:space="preserve">  Phase 1 — MVP</t>
  </si>
  <si>
    <t xml:space="preserve">  Phase 2 — Growth</t>
  </si>
  <si>
    <t xml:space="preserve">  Phase 3 — Scale</t>
  </si>
  <si>
    <t xml:space="preserve">  Phase 4 — Expansion</t>
  </si>
  <si>
    <t xml:space="preserve">AGING GRACEFULLY — Team &amp; Resourcing Plan</t>
  </si>
  <si>
    <t xml:space="preserve">FTE headcount by role and phase. Contractors shown in italics. Assumes seed funding for Phase 0–1; Series A for Phase 2–3; Series B for Phase 4.</t>
  </si>
  <si>
    <t xml:space="preserve">Role</t>
  </si>
  <si>
    <t xml:space="preserve">Hire Phase</t>
  </si>
  <si>
    <t xml:space="preserve">Ph 0
(1-3)</t>
  </si>
  <si>
    <t xml:space="preserve">Ph 1
(3-9)</t>
  </si>
  <si>
    <t xml:space="preserve">Ph 2
(10-18)</t>
  </si>
  <si>
    <t xml:space="preserve">Ph 3
(19-27)</t>
  </si>
  <si>
    <t xml:space="preserve">Ph 4
(28-36)</t>
  </si>
  <si>
    <t xml:space="preserve">Total
Yr 1</t>
  </si>
  <si>
    <t xml:space="preserve">Total
Yr 2</t>
  </si>
  <si>
    <t xml:space="preserve">Total
Yr 3</t>
  </si>
  <si>
    <t xml:space="preserve">ENGINEERING</t>
  </si>
  <si>
    <t xml:space="preserve">CTO / VP Engineering</t>
  </si>
  <si>
    <t xml:space="preserve">Pre-seed</t>
  </si>
  <si>
    <t xml:space="preserve">Fullstack Engineer (web)</t>
  </si>
  <si>
    <t xml:space="preserve">Phase 0</t>
  </si>
  <si>
    <t xml:space="preserve">Backend / API Engineer</t>
  </si>
  <si>
    <t xml:space="preserve">Mobile Engineer (iOS)</t>
  </si>
  <si>
    <t xml:space="preserve">Mobile Engineer (Android)</t>
  </si>
  <si>
    <t xml:space="preserve">Phase 1</t>
  </si>
  <si>
    <t xml:space="preserve">—</t>
  </si>
  <si>
    <t xml:space="preserve">DevOps / Platform Engineer</t>
  </si>
  <si>
    <t xml:space="preserve">AI / ML Engineer</t>
  </si>
  <si>
    <t xml:space="preserve">Data Engineer</t>
  </si>
  <si>
    <t xml:space="preserve">Phase 2</t>
  </si>
  <si>
    <t xml:space="preserve">Security Engineer</t>
  </si>
  <si>
    <t xml:space="preserve">QA / SDET</t>
  </si>
  <si>
    <t xml:space="preserve">PRODUCT &amp; DESIGN</t>
  </si>
  <si>
    <t xml:space="preserve">Head of Product</t>
  </si>
  <si>
    <t xml:space="preserve">Product Manager</t>
  </si>
  <si>
    <t xml:space="preserve">UX Designer</t>
  </si>
  <si>
    <t xml:space="preserve">UX Researcher</t>
  </si>
  <si>
    <t xml:space="preserve">Accessibility Specialist</t>
  </si>
  <si>
    <t xml:space="preserve">Content Strategist / Writer</t>
  </si>
  <si>
    <t xml:space="preserve">CLINICAL &amp; COMPLIANCE</t>
  </si>
  <si>
    <t xml:space="preserve">Clinical Advisor (MD/RN)</t>
  </si>
  <si>
    <t xml:space="preserve">HIPAA / Compliance Officer</t>
  </si>
  <si>
    <t xml:space="preserve">Data Privacy Officer (DPO)</t>
  </si>
  <si>
    <t xml:space="preserve">Eldercare Content SME</t>
  </si>
  <si>
    <t xml:space="preserve">GO-TO-MARKET</t>
  </si>
  <si>
    <t xml:space="preserve">CEO</t>
  </si>
  <si>
    <t xml:space="preserve">Head of Marketing</t>
  </si>
  <si>
    <t xml:space="preserve">Head of Sales (Employer)</t>
  </si>
  <si>
    <t xml:space="preserve">Customer Success</t>
  </si>
  <si>
    <t xml:space="preserve">Partnership Manager</t>
  </si>
  <si>
    <t xml:space="preserve">Caregiver Community Manager</t>
  </si>
  <si>
    <t xml:space="preserve">Phase 3</t>
  </si>
  <si>
    <t xml:space="preserve">FINANCE &amp; OPS</t>
  </si>
  <si>
    <t xml:space="preserve">CFO (fractional → full-time)</t>
  </si>
  <si>
    <t xml:space="preserve">HR / People Ops</t>
  </si>
  <si>
    <t xml:space="preserve">Legal (external counsel)</t>
  </si>
  <si>
    <t xml:space="preserve">TOTAL HEADCOUNT</t>
  </si>
  <si>
    <t xml:space="preserve">AGING GRACEFULLY — Testing &amp; QA Plan</t>
  </si>
  <si>
    <t xml:space="preserve">Test type</t>
  </si>
  <si>
    <t xml:space="preserve">What's tested</t>
  </si>
  <si>
    <t xml:space="preserve">Tools / method</t>
  </si>
  <si>
    <t xml:space="preserve">Frequency</t>
  </si>
  <si>
    <t xml:space="preserve">Gate</t>
  </si>
  <si>
    <t xml:space="preserve">Pass criteria</t>
  </si>
  <si>
    <t xml:space="preserve">AUTOMATED TESTING (continuous)</t>
  </si>
  <si>
    <t xml:space="preserve">Unit tests</t>
  </si>
  <si>
    <t xml:space="preserve">All business logic functions, data transformations, utility functions, FHIR normalization</t>
  </si>
  <si>
    <t xml:space="preserve">Jest (TS), pytest (Python services), coverage &gt;85%</t>
  </si>
  <si>
    <t xml:space="preserve">Every commit</t>
  </si>
  <si>
    <t xml:space="preserve">CI gate — blocks merge</t>
  </si>
  <si>
    <t xml:space="preserve">&gt;85% coverage; 0 failures</t>
  </si>
  <si>
    <t xml:space="preserve">Integration tests</t>
  </si>
  <si>
    <t xml:space="preserve">API endpoints, database interactions, service-to-service calls, auth flows</t>
  </si>
  <si>
    <t xml:space="preserve">Jest + Supertest; test containers for DB</t>
  </si>
  <si>
    <t xml:space="preserve">Every PR</t>
  </si>
  <si>
    <t xml:space="preserve">All endpoints return correct status; auth enforced</t>
  </si>
  <si>
    <t xml:space="preserve">Accessibility (automated)</t>
  </si>
  <si>
    <t xml:space="preserve">WCAG 2.2 violations: contrast, missing labels, keyboard traps, ARIA errors</t>
  </si>
  <si>
    <t xml:space="preserve">axe-core in Jest; Lighthouse CI</t>
  </si>
  <si>
    <t xml:space="preserve">CI gate — zero new violations</t>
  </si>
  <si>
    <t xml:space="preserve">axe: 0 new violations; Lighthouse a11y ≥ 95</t>
  </si>
  <si>
    <t xml:space="preserve">Security scan (SAST)</t>
  </si>
  <si>
    <t xml:space="preserve">Code-level vulnerabilities: SQLi patterns, hardcoded secrets, dependency CVEs</t>
  </si>
  <si>
    <t xml:space="preserve">Snyk SAST + Dependabot</t>
  </si>
  <si>
    <t xml:space="preserve">Blocks merge if high/critical CVE</t>
  </si>
  <si>
    <t xml:space="preserve">0 high/critical CVEs in production code</t>
  </si>
  <si>
    <t xml:space="preserve">E2E smoke tests</t>
  </si>
  <si>
    <t xml:space="preserve">Critical user journeys: sign up, upload document, share emergency packet, AI Q&amp;A</t>
  </si>
  <si>
    <t xml:space="preserve">Playwright (headless Chrome + Firefox + Safari)</t>
  </si>
  <si>
    <t xml:space="preserve">Every deploy to staging</t>
  </si>
  <si>
    <t xml:space="preserve">Blocks production deploy if failing</t>
  </si>
  <si>
    <t xml:space="preserve">All smoke tests green</t>
  </si>
  <si>
    <t xml:space="preserve">Performance regression</t>
  </si>
  <si>
    <t xml:space="preserve">LCP, TTI, bundle size — must not regress from prior deploy</t>
  </si>
  <si>
    <t xml:space="preserve">Lighthouse CI + custom bundle size check</t>
  </si>
  <si>
    <t xml:space="preserve">Blocks deploy if regression &gt;10%</t>
  </si>
  <si>
    <t xml:space="preserve">LCP &lt;2.5s; bundle &lt;250KB gzipped</t>
  </si>
  <si>
    <t xml:space="preserve">SPRINT / RELEASE TESTING</t>
  </si>
  <si>
    <t xml:space="preserve">Functional QA</t>
  </si>
  <si>
    <t xml:space="preserve">Full feature testing against acceptance criteria for every user story in the sprint</t>
  </si>
  <si>
    <t xml:space="preserve">Manual test cases in TestRail; exploratory testing</t>
  </si>
  <si>
    <t xml:space="preserve">Every sprint (2 weeks)</t>
  </si>
  <si>
    <t xml:space="preserve">Release gate — no P0/P1 open</t>
  </si>
  <si>
    <t xml:space="preserve">All ACs met; &lt;5 P2 bugs; 0 P0/P1</t>
  </si>
  <si>
    <t xml:space="preserve">Regression testing</t>
  </si>
  <si>
    <t xml:space="preserve">Full regression suite on staging before every production release</t>
  </si>
  <si>
    <t xml:space="preserve">Playwright E2E suite (400+ tests by MVP)</t>
  </si>
  <si>
    <t xml:space="preserve">Pre-release (weekly from Phase 2)</t>
  </si>
  <si>
    <t xml:space="preserve">Production deploy gate</t>
  </si>
  <si>
    <t xml:space="preserve">0 regressions vs. last release</t>
  </si>
  <si>
    <t xml:space="preserve">Cross-browser / device</t>
  </si>
  <si>
    <t xml:space="preserve">Chrome, Firefox, Safari, Edge; iOS Safari, Android Chrome; tablet layouts</t>
  </si>
  <si>
    <t xml:space="preserve">BrowserStack automated grid</t>
  </si>
  <si>
    <t xml:space="preserve">Every release</t>
  </si>
  <si>
    <t xml:space="preserve">Release gate</t>
  </si>
  <si>
    <t xml:space="preserve">No P1+ defects on supported browsers</t>
  </si>
  <si>
    <t xml:space="preserve">API contract testing</t>
  </si>
  <si>
    <t xml:space="preserve">GraphQL schema changes do not break existing clients; REST versioning</t>
  </si>
  <si>
    <t xml:space="preserve">Pact.io contract tests; GraphQL schema linting</t>
  </si>
  <si>
    <t xml:space="preserve">Every PR touching API</t>
  </si>
  <si>
    <t xml:space="preserve">CI gate</t>
  </si>
  <si>
    <t xml:space="preserve">All consumer contracts passing</t>
  </si>
  <si>
    <t xml:space="preserve">Data integrity</t>
  </si>
  <si>
    <t xml:space="preserve">Document upload/download hash match; FHIR normalization accuracy; audit log completeness</t>
  </si>
  <si>
    <t xml:space="preserve">Custom test suite comparing input/output hashes</t>
  </si>
  <si>
    <t xml:space="preserve">Sprint integration tests</t>
  </si>
  <si>
    <t xml:space="preserve">0 hash mismatches; audit log 100% complete</t>
  </si>
  <si>
    <t xml:space="preserve">MILESTONE TESTING (per phase)</t>
  </si>
  <si>
    <t xml:space="preserve">Load testing</t>
  </si>
  <si>
    <t xml:space="preserve">Simulate target concurrent users; identify bottlenecks before scale</t>
  </si>
  <si>
    <t xml:space="preserve">k6; target: 5k concurrent (MVP), 50k (Ph2), 100k (Ph3)</t>
  </si>
  <si>
    <t xml:space="preserve">End of each phase</t>
  </si>
  <si>
    <t xml:space="preserve">Phase milestone gate</t>
  </si>
  <si>
    <t xml:space="preserve">P95 API response &lt;500ms at target load</t>
  </si>
  <si>
    <t xml:space="preserve">Penetration testing</t>
  </si>
  <si>
    <t xml:space="preserve">External attack surface: auth, API, file upload, prompt injection, SMS spoofing</t>
  </si>
  <si>
    <t xml:space="preserve">Third-party pen test firm (annual); internal DAST quarterly</t>
  </si>
  <si>
    <t xml:space="preserve">Annually + pre-major launch</t>
  </si>
  <si>
    <t xml:space="preserve">No critical/high findings unresolved</t>
  </si>
  <si>
    <t xml:space="preserve">Accessibility (manual)</t>
  </si>
  <si>
    <t xml:space="preserve">Screen reader workflows with real users; keyboard-only navigation; switch access</t>
  </si>
  <si>
    <t xml:space="preserve">NVDA/JAWS/VoiceOver; testers who use AT daily</t>
  </si>
  <si>
    <t xml:space="preserve">Quarterly (CPACC-certified specialist)</t>
  </si>
  <si>
    <t xml:space="preserve">All critical journeys operable; 0 WCAG AA violations</t>
  </si>
  <si>
    <t xml:space="preserve">HIPAA / Compliance audit</t>
  </si>
  <si>
    <t xml:space="preserve">Data handling, access controls, audit log, BAA coverage, breach response</t>
  </si>
  <si>
    <t xml:space="preserve">Internal compliance team + external HIPAA counsel</t>
  </si>
  <si>
    <t xml:space="preserve">Annually</t>
  </si>
  <si>
    <t xml:space="preserve">SOC2 observation milestone</t>
  </si>
  <si>
    <t xml:space="preserve">0 material HIPAA findings</t>
  </si>
  <si>
    <t xml:space="preserve">FHIR conformance testing</t>
  </si>
  <si>
    <t xml:space="preserve">FHIR server responses validate against R4 spec; SMART auth compliant</t>
  </si>
  <si>
    <t xml:space="preserve">Inferno FHIR testing tool; HL7 FHIR validator</t>
  </si>
  <si>
    <t xml:space="preserve">Before each EHR integration goes live</t>
  </si>
  <si>
    <t xml:space="preserve">EHR go-live gate</t>
  </si>
  <si>
    <t xml:space="preserve">All Inferno tests pass; 0 critical conformance failures</t>
  </si>
  <si>
    <t xml:space="preserve">Chaos engineering</t>
  </si>
  <si>
    <t xml:space="preserve">Simulate: database failover, S3 outage, AI API timeout, network partition</t>
  </si>
  <si>
    <t xml:space="preserve">Gremlin chaos experiments on production-like staging</t>
  </si>
  <si>
    <t xml:space="preserve">Quarterly</t>
  </si>
  <si>
    <t xml:space="preserve">Phase 3 milestone gate</t>
  </si>
  <si>
    <t xml:space="preserve">Graceful degradation; RTO within SLA</t>
  </si>
  <si>
    <t xml:space="preserve">Disaster recovery drill</t>
  </si>
  <si>
    <t xml:space="preserve">Full production failover to secondary region; data recovery test</t>
  </si>
  <si>
    <t xml:space="preserve">Manual runbook execution timed drill</t>
  </si>
  <si>
    <t xml:space="preserve">Bi-annually</t>
  </si>
  <si>
    <t xml:space="preserve">Phase 3+ milestone gate</t>
  </si>
  <si>
    <t xml:space="preserve">RTO &lt;1hr; RPO &lt;15min; all data intact</t>
  </si>
  <si>
    <t xml:space="preserve">User acceptance testing</t>
  </si>
  <si>
    <t xml:space="preserve">Real caregiver families validate feature completeness and usability</t>
  </si>
  <si>
    <t xml:space="preserve">Structured UAT sessions (moderated) + diary studies</t>
  </si>
  <si>
    <t xml:space="preserve">Before each phase launch</t>
  </si>
  <si>
    <t xml:space="preserve">Phase launch gate</t>
  </si>
  <si>
    <t xml:space="preserve">NPS &gt;60 (MVP); &gt;65 (Ph2); &gt;70 (Ph3)</t>
  </si>
  <si>
    <t xml:space="preserve">SPECIALIST TESTING</t>
  </si>
  <si>
    <t xml:space="preserve">AI safety / output validation</t>
  </si>
  <si>
    <t xml:space="preserve">Hallucination rate, medical advice accuracy, PII leakage in responses, prompt injection resistance</t>
  </si>
  <si>
    <t xml:space="preserve">Red-team testing; medical expert review of sample outputs; automated PII scanner on responses</t>
  </si>
  <si>
    <t xml:space="preserve">Monthly + before AI feature launches</t>
  </si>
  <si>
    <t xml:space="preserve">AI feature launch gate</t>
  </si>
  <si>
    <t xml:space="preserve">&lt;2% hallucination rate; 0 PII in AI responses; prompt injection blocked</t>
  </si>
  <si>
    <t xml:space="preserve">SMS / voice compliance</t>
  </si>
  <si>
    <t xml:space="preserve">TCPA opt-out processing, quiet hours enforcement, message frequency limits, carrier delivery rates</t>
  </si>
  <si>
    <t xml:space="preserve">Twilio test numbers; carrier sandbox; manual STOP testing</t>
  </si>
  <si>
    <t xml:space="preserve">Before SMS launch + quarterly</t>
  </si>
  <si>
    <t xml:space="preserve">SMS feature launch gate</t>
  </si>
  <si>
    <t xml:space="preserve">STOP processed in &lt;5s; 100% quiet hours compliance; &gt;95% delivery rate</t>
  </si>
  <si>
    <t xml:space="preserve">Financial data security</t>
  </si>
  <si>
    <t xml:space="preserve">Plaid token handling, bank data encryption, anomaly detection accuracy, access revocation</t>
  </si>
  <si>
    <t xml:space="preserve">Security review + Plaid sandbox testing</t>
  </si>
  <si>
    <t xml:space="preserve">Before financial integration launch</t>
  </si>
  <si>
    <t xml:space="preserve">Plaid integration gate</t>
  </si>
  <si>
    <t xml:space="preserve">0 unencrypted financial data; revocation works in &lt;1min</t>
  </si>
  <si>
    <t xml:space="preserve">AGING GRACEFULLY — MVP Launch Checklist (Month 9)</t>
  </si>
  <si>
    <t xml:space="preserve">Category</t>
  </si>
  <si>
    <t xml:space="preserve">Item</t>
  </si>
  <si>
    <t xml:space="preserve">Owner</t>
  </si>
  <si>
    <t xml:space="preserve">Due</t>
  </si>
  <si>
    <t xml:space="preserve">ENGINEERING — PRODUCTION READINESS</t>
  </si>
  <si>
    <t xml:space="preserve">All P0/P1 bugs resolved</t>
  </si>
  <si>
    <t xml:space="preserve">Engineering Lead</t>
  </si>
  <si>
    <t xml:space="preserve">Week -2</t>
  </si>
  <si>
    <t xml:space="preserve">Load test passed (5,000 concurrent users)</t>
  </si>
  <si>
    <t xml:space="preserve">DevOps</t>
  </si>
  <si>
    <t xml:space="preserve">Security penetration test — no critical/high open</t>
  </si>
  <si>
    <t xml:space="preserve">Security Eng</t>
  </si>
  <si>
    <t xml:space="preserve">Week -3</t>
  </si>
  <si>
    <t xml:space="preserve">WCAG 2.2 AA audit — 0 violations</t>
  </si>
  <si>
    <t xml:space="preserve">Accessibility Spec</t>
  </si>
  <si>
    <t xml:space="preserve">Automated test suite &gt;85% coverage; all passing</t>
  </si>
  <si>
    <t xml:space="preserve">QA Lead</t>
  </si>
  <si>
    <t xml:space="preserve">Week -1</t>
  </si>
  <si>
    <t xml:space="preserve">Disaster recovery drill completed — RTO &lt;1hr</t>
  </si>
  <si>
    <t xml:space="preserve">Database backups verified + cross-region replication</t>
  </si>
  <si>
    <t xml:space="preserve">All secrets rotated to production KMS keys</t>
  </si>
  <si>
    <t xml:space="preserve">CDN &amp; WAF configured; DDoS protection enabled</t>
  </si>
  <si>
    <t xml:space="preserve">On-call rotation and PagerDuty escalation configured</t>
  </si>
  <si>
    <t xml:space="preserve">Runbooks for all P1 alert conditions documented</t>
  </si>
  <si>
    <t xml:space="preserve">Feature flags configured; kill switches tested</t>
  </si>
  <si>
    <t xml:space="preserve">LEGAL &amp; COMPLIANCE</t>
  </si>
  <si>
    <t xml:space="preserve">Privacy policy live at /privacy (CCPA + GDPR-ready)</t>
  </si>
  <si>
    <t xml:space="preserve">Legal</t>
  </si>
  <si>
    <t xml:space="preserve">Terms of service live and reviewed by counsel</t>
  </si>
  <si>
    <t xml:space="preserve">HIPAA Business Associate Agreement with AWS signed</t>
  </si>
  <si>
    <t xml:space="preserve">Legal + CTO</t>
  </si>
  <si>
    <t xml:space="preserve">Week -4</t>
  </si>
  <si>
    <t xml:space="preserve">HIPAA BAA with Anthropic (AI) signed</t>
  </si>
  <si>
    <t xml:space="preserve">10DLC SMS brand registration approved by carriers</t>
  </si>
  <si>
    <t xml:space="preserve">Legal + Eng</t>
  </si>
  <si>
    <t xml:space="preserve">TCPA compliance review completed</t>
  </si>
  <si>
    <t xml:space="preserve">Cookie consent (Cookiebot) live and configured</t>
  </si>
  <si>
    <t xml:space="preserve">Engineering</t>
  </si>
  <si>
    <t xml:space="preserve">Data processing agreements with all sub-processors</t>
  </si>
  <si>
    <t xml:space="preserve">Incident response plan documented and tested</t>
  </si>
  <si>
    <t xml:space="preserve">CISO</t>
  </si>
  <si>
    <t xml:space="preserve">Cyber liability insurance policy active</t>
  </si>
  <si>
    <t xml:space="preserve">CFO</t>
  </si>
  <si>
    <t xml:space="preserve">PRODUCT &amp; CONTENT</t>
  </si>
  <si>
    <t xml:space="preserve">All MVP features complete per acceptance criteria</t>
  </si>
  <si>
    <t xml:space="preserve">Onboarding flow tested with 20+ real users</t>
  </si>
  <si>
    <t xml:space="preserve">UX Research</t>
  </si>
  <si>
    <t xml:space="preserve">Error messages — all P0 user journeys have helpful errors</t>
  </si>
  <si>
    <t xml:space="preserve">Product / Eng</t>
  </si>
  <si>
    <t xml:space="preserve">Empty states for all core screens (no blank pages)</t>
  </si>
  <si>
    <t xml:space="preserve">Design</t>
  </si>
  <si>
    <t xml:space="preserve">Help center / FAQ live with 30+ articles</t>
  </si>
  <si>
    <t xml:space="preserve">Content</t>
  </si>
  <si>
    <t xml:space="preserve">All health content reviewed by clinical advisor (MD/RN)</t>
  </si>
  <si>
    <t xml:space="preserve">Clinical Advisor</t>
  </si>
  <si>
    <t xml:space="preserve">All legal content (advance directives) reviewed by attorney</t>
  </si>
  <si>
    <t xml:space="preserve">Eldercare Attorney</t>
  </si>
  <si>
    <t xml:space="preserve">AI output review — 50+ sample outputs reviewed for accuracy</t>
  </si>
  <si>
    <t xml:space="preserve">Clinical + AI Eng</t>
  </si>
  <si>
    <t xml:space="preserve">Email templates (welcome, alerts, reminders) designed + tested</t>
  </si>
  <si>
    <t xml:space="preserve">Marketing + Eng</t>
  </si>
  <si>
    <t xml:space="preserve">Mobile app submitted to App Store + Google Play</t>
  </si>
  <si>
    <t xml:space="preserve">Mobile Eng</t>
  </si>
  <si>
    <t xml:space="preserve">App Store / Play listing copy and screenshots complete</t>
  </si>
  <si>
    <t xml:space="preserve">Marketing</t>
  </si>
  <si>
    <t xml:space="preserve">MARKETING &amp; LAUNCH</t>
  </si>
  <si>
    <t xml:space="preserve">Launch press release drafted and distributed</t>
  </si>
  <si>
    <t xml:space="preserve">CEO + Marketing</t>
  </si>
  <si>
    <t xml:space="preserve">Launch day</t>
  </si>
  <si>
    <t xml:space="preserve">Product Hunt launch prepared (hunter, assets, copy)</t>
  </si>
  <si>
    <t xml:space="preserve">Landing page with waitlist / sign-up live</t>
  </si>
  <si>
    <t xml:space="preserve">SEO — meta titles, descriptions, OG tags on all key pages</t>
  </si>
  <si>
    <t xml:space="preserve">Social media accounts live (LinkedIn, Instagram, Facebook)</t>
  </si>
  <si>
    <t xml:space="preserve">Email list (waitlist) ready for launch announcement</t>
  </si>
  <si>
    <t xml:space="preserve">Caregiver advisor / influencer outreach completed</t>
  </si>
  <si>
    <t xml:space="preserve">Press kit (logos, screenshots, founder bio, fact sheet)</t>
  </si>
  <si>
    <t xml:space="preserve">Google Analytics + Mixpanel analytics live and tracking</t>
  </si>
  <si>
    <t xml:space="preserve">Customer support tooling (Intercom) configured</t>
  </si>
  <si>
    <t xml:space="preserve">CUSTOMER SUCCESS &amp; SUPPORT</t>
  </si>
  <si>
    <t xml:space="preserve">Support team trained on all MVP features</t>
  </si>
  <si>
    <t xml:space="preserve">CS Lead</t>
  </si>
  <si>
    <t xml:space="preserve">Escalation paths defined (Tier 1 → Tier 2 → Engineering)</t>
  </si>
  <si>
    <t xml:space="preserve">NPS survey configured (trigger at Day 14)</t>
  </si>
  <si>
    <t xml:space="preserve">CS + Product</t>
  </si>
  <si>
    <t xml:space="preserve">Feedback button live on all screens</t>
  </si>
  <si>
    <t xml:space="preserve">Product + Eng</t>
  </si>
  <si>
    <t xml:space="preserve">User onboarding email sequence configured (5-email drip)</t>
  </si>
  <si>
    <t xml:space="preserve">Marketing + CS</t>
  </si>
  <si>
    <t xml:space="preserve">Beta user migration plan — all 50 beta families invited</t>
  </si>
  <si>
    <t xml:space="preserve">Status page live (status.agingracefully.com)</t>
  </si>
  <si>
    <t xml:space="preserve">AGING GRACEFULLY — Success Metrics &amp; KPIs by Phase</t>
  </si>
  <si>
    <t xml:space="preserve">Metric</t>
  </si>
  <si>
    <t xml:space="preserve">MVP (Mo 9)</t>
  </si>
  <si>
    <t xml:space="preserve">Phase 2 (Mo 18)</t>
  </si>
  <si>
    <t xml:space="preserve">Phase 3 (Mo 27)</t>
  </si>
  <si>
    <t xml:space="preserve">Phase 4 (Mo 36)</t>
  </si>
  <si>
    <t xml:space="preserve">How measured</t>
  </si>
  <si>
    <t xml:space="preserve">GROWTH &amp; ACQUISITION</t>
  </si>
  <si>
    <t xml:space="preserve">Active families (MAU)</t>
  </si>
  <si>
    <t xml:space="preserve">1,000</t>
  </si>
  <si>
    <t xml:space="preserve">10,000</t>
  </si>
  <si>
    <t xml:space="preserve">50,000</t>
  </si>
  <si>
    <t xml:space="preserve">150,000</t>
  </si>
  <si>
    <t xml:space="preserve">Mixpanel / product analytics</t>
  </si>
  <si>
    <t xml:space="preserve">Monthly signups</t>
  </si>
  <si>
    <t xml:space="preserve">200</t>
  </si>
  <si>
    <t xml:space="preserve">500</t>
  </si>
  <si>
    <t xml:space="preserve">2,000</t>
  </si>
  <si>
    <t xml:space="preserve">5,000</t>
  </si>
  <si>
    <t xml:space="preserve">Analytics dashboard</t>
  </si>
  <si>
    <t xml:space="preserve">Organic / paid split</t>
  </si>
  <si>
    <t xml:space="preserve">80% organic</t>
  </si>
  <si>
    <t xml:space="preserve">70% organic</t>
  </si>
  <si>
    <t xml:space="preserve">60% organic</t>
  </si>
  <si>
    <t xml:space="preserve">55% organic</t>
  </si>
  <si>
    <t xml:space="preserve">UTM tracking</t>
  </si>
  <si>
    <t xml:space="preserve">Employer accounts</t>
  </si>
  <si>
    <t xml:space="preserve">0</t>
  </si>
  <si>
    <t xml:space="preserve">5 pilots</t>
  </si>
  <si>
    <t xml:space="preserve">100 accounts</t>
  </si>
  <si>
    <t xml:space="preserve">300 accounts</t>
  </si>
  <si>
    <t xml:space="preserve">CRM (Salesforce)</t>
  </si>
  <si>
    <t xml:space="preserve">App Store rating</t>
  </si>
  <si>
    <t xml:space="preserve">≥ 4.0</t>
  </si>
  <si>
    <t xml:space="preserve">≥ 4.3</t>
  </si>
  <si>
    <t xml:space="preserve">≥ 4.5</t>
  </si>
  <si>
    <t xml:space="preserve">≥ 4.6</t>
  </si>
  <si>
    <t xml:space="preserve">App Store Connect / Play Console</t>
  </si>
  <si>
    <t xml:space="preserve">ENGAGEMENT &amp; RETENTION</t>
  </si>
  <si>
    <t xml:space="preserve">D30 retention</t>
  </si>
  <si>
    <t xml:space="preserve">40%</t>
  </si>
  <si>
    <t xml:space="preserve">50%</t>
  </si>
  <si>
    <t xml:space="preserve">60%</t>
  </si>
  <si>
    <t xml:space="preserve">65%</t>
  </si>
  <si>
    <t xml:space="preserve">Cohort analysis in Mixpanel</t>
  </si>
  <si>
    <t xml:space="preserve">D90 retention</t>
  </si>
  <si>
    <t xml:space="preserve">25%</t>
  </si>
  <si>
    <t xml:space="preserve">35%</t>
  </si>
  <si>
    <t xml:space="preserve">45%</t>
  </si>
  <si>
    <t xml:space="preserve">55%</t>
  </si>
  <si>
    <t xml:space="preserve">Cohort analysis</t>
  </si>
  <si>
    <t xml:space="preserve">Weekly active users / MAU</t>
  </si>
  <si>
    <t xml:space="preserve">Product analytics</t>
  </si>
  <si>
    <t xml:space="preserve">Docs uploaded per family (avg)</t>
  </si>
  <si>
    <t xml:space="preserve">3</t>
  </si>
  <si>
    <t xml:space="preserve">8</t>
  </si>
  <si>
    <t xml:space="preserve">12</t>
  </si>
  <si>
    <t xml:space="preserve">15</t>
  </si>
  <si>
    <t xml:space="preserve">SQL query on documents table</t>
  </si>
  <si>
    <t xml:space="preserve">AI queries per active user / week</t>
  </si>
  <si>
    <t xml:space="preserve">2</t>
  </si>
  <si>
    <t xml:space="preserve">5</t>
  </si>
  <si>
    <t xml:space="preserve">10</t>
  </si>
  <si>
    <t xml:space="preserve">AI usage logging</t>
  </si>
  <si>
    <t xml:space="preserve">SMS parent interactions / week (Ph2+)</t>
  </si>
  <si>
    <t xml:space="preserve">3 per enrolled parent</t>
  </si>
  <si>
    <t xml:space="preserve">4 per enrolled parent</t>
  </si>
  <si>
    <t xml:space="preserve">5 per enrolled parent</t>
  </si>
  <si>
    <t xml:space="preserve">Twilio message logs</t>
  </si>
  <si>
    <t xml:space="preserve">QUALITY &amp; SATISFACTION</t>
  </si>
  <si>
    <t xml:space="preserve">Net Promoter Score (NPS)</t>
  </si>
  <si>
    <t xml:space="preserve">≥ 60</t>
  </si>
  <si>
    <t xml:space="preserve">≥ 65</t>
  </si>
  <si>
    <t xml:space="preserve">≥ 70</t>
  </si>
  <si>
    <t xml:space="preserve">≥ 72</t>
  </si>
  <si>
    <t xml:space="preserve">Delighted survey at Day 14 + quarterly</t>
  </si>
  <si>
    <t xml:space="preserve">Customer satisfaction (CSAT)</t>
  </si>
  <si>
    <t xml:space="preserve">≥ 4.0 / 5.0</t>
  </si>
  <si>
    <t xml:space="preserve">≥ 4.2 / 5.0</t>
  </si>
  <si>
    <t xml:space="preserve">≥ 4.4 / 5.0</t>
  </si>
  <si>
    <t xml:space="preserve">≥ 4.5 / 5.0</t>
  </si>
  <si>
    <t xml:space="preserve">Post-support survey</t>
  </si>
  <si>
    <t xml:space="preserve">Support ticket volume / 1k MAU</t>
  </si>
  <si>
    <t xml:space="preserve">&lt; 50 / mo</t>
  </si>
  <si>
    <t xml:space="preserve">&lt; 35 / mo</t>
  </si>
  <si>
    <t xml:space="preserve">&lt; 25 / mo</t>
  </si>
  <si>
    <t xml:space="preserve">&lt; 20 / mo</t>
  </si>
  <si>
    <t xml:space="preserve">Intercom dashboard</t>
  </si>
  <si>
    <t xml:space="preserve">AI accuracy (user thumbs up rate)</t>
  </si>
  <si>
    <t xml:space="preserve">≥ 80%</t>
  </si>
  <si>
    <t xml:space="preserve">≥ 85%</t>
  </si>
  <si>
    <t xml:space="preserve">≥ 90%</t>
  </si>
  <si>
    <t xml:space="preserve">≥ 92%</t>
  </si>
  <si>
    <t xml:space="preserve">AI feedback logging</t>
  </si>
  <si>
    <t xml:space="preserve">Accessibility score (Lighthouse)</t>
  </si>
  <si>
    <t xml:space="preserve">≥ 95</t>
  </si>
  <si>
    <t xml:space="preserve">≥ 97</t>
  </si>
  <si>
    <t xml:space="preserve">≥ 98</t>
  </si>
  <si>
    <t xml:space="preserve">Lighthouse CI dashboard</t>
  </si>
  <si>
    <t xml:space="preserve">REVENUE &amp; BUSINESS</t>
  </si>
  <si>
    <t xml:space="preserve">Annual Recurring Revenue (ARR)</t>
  </si>
  <si>
    <t xml:space="preserve">$0 (beta)</t>
  </si>
  <si>
    <t xml:space="preserve">$1M</t>
  </si>
  <si>
    <t xml:space="preserve">$5M</t>
  </si>
  <si>
    <t xml:space="preserve">$20M</t>
  </si>
  <si>
    <t xml:space="preserve">Stripe + billing dashboard</t>
  </si>
  <si>
    <t xml:space="preserve">Average Revenue Per User (ARPU)</t>
  </si>
  <si>
    <t xml:space="preserve">$100 / yr</t>
  </si>
  <si>
    <t xml:space="preserve">$133 / yr</t>
  </si>
  <si>
    <t xml:space="preserve">ARR divided by MAU</t>
  </si>
  <si>
    <t xml:space="preserve">Gross margin</t>
  </si>
  <si>
    <t xml:space="preserve">≥ 65%</t>
  </si>
  <si>
    <t xml:space="preserve">≥ 72%</t>
  </si>
  <si>
    <t xml:space="preserve">≥ 78%</t>
  </si>
  <si>
    <t xml:space="preserve">Finance dashboard</t>
  </si>
  <si>
    <t xml:space="preserve">Customer Acquisition Cost (CAC)</t>
  </si>
  <si>
    <t xml:space="preserve">&lt; $80</t>
  </si>
  <si>
    <t xml:space="preserve">&lt; $60</t>
  </si>
  <si>
    <t xml:space="preserve">&lt; $50</t>
  </si>
  <si>
    <t xml:space="preserve">Marketing attribution model</t>
  </si>
  <si>
    <t xml:space="preserve">LTV:CAC ratio</t>
  </si>
  <si>
    <t xml:space="preserve">≥ 3:1</t>
  </si>
  <si>
    <t xml:space="preserve">≥ 5:1</t>
  </si>
  <si>
    <t xml:space="preserve">≥ 7:1</t>
  </si>
  <si>
    <t xml:space="preserve">Finance model</t>
  </si>
  <si>
    <t xml:space="preserve">Employer contract value (ACV)</t>
  </si>
  <si>
    <t xml:space="preserve">$10k / yr avg</t>
  </si>
  <si>
    <t xml:space="preserve">$20k / yr avg</t>
  </si>
  <si>
    <t xml:space="preserve">$30k / yr avg</t>
  </si>
  <si>
    <t xml:space="preserve">CRM</t>
  </si>
  <si>
    <t xml:space="preserve">TECHNICAL &amp; COMPLIANCE</t>
  </si>
  <si>
    <t xml:space="preserve">Platform uptime</t>
  </si>
  <si>
    <t xml:space="preserve">≥ 99.9%</t>
  </si>
  <si>
    <t xml:space="preserve">≥ 99.95%</t>
  </si>
  <si>
    <t xml:space="preserve">Datadog SLO dashboard</t>
  </si>
  <si>
    <t xml:space="preserve">API P95 latency</t>
  </si>
  <si>
    <t xml:space="preserve">&lt; 500ms</t>
  </si>
  <si>
    <t xml:space="preserve">&lt; 400ms</t>
  </si>
  <si>
    <t xml:space="preserve">&lt; 300ms</t>
  </si>
  <si>
    <t xml:space="preserve">&lt; 250ms</t>
  </si>
  <si>
    <t xml:space="preserve">Datadog APM</t>
  </si>
  <si>
    <t xml:space="preserve">AI response P95 (first token)</t>
  </si>
  <si>
    <t xml:space="preserve">&lt; 4s</t>
  </si>
  <si>
    <t xml:space="preserve">&lt; 3s</t>
  </si>
  <si>
    <t xml:space="preserve">&lt; 2.5s</t>
  </si>
  <si>
    <t xml:space="preserve">&lt; 2s</t>
  </si>
  <si>
    <t xml:space="preserve">Custom AI latency metric</t>
  </si>
  <si>
    <t xml:space="preserve">Security incidents (P1)</t>
  </si>
  <si>
    <t xml:space="preserve">Security incident log</t>
  </si>
  <si>
    <t xml:space="preserve">HIPAA audit findings (material)</t>
  </si>
  <si>
    <t xml:space="preserve">Compliance audit reports</t>
  </si>
  <si>
    <t xml:space="preserve">SOC 2 status</t>
  </si>
  <si>
    <t xml:space="preserve">Type I in progress</t>
  </si>
  <si>
    <t xml:space="preserve">Type I complete</t>
  </si>
  <si>
    <t xml:space="preserve">Type II in progress</t>
  </si>
  <si>
    <t xml:space="preserve">Type II certified</t>
  </si>
  <si>
    <t xml:space="preserve">Audit firm certification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</si>
</sst>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1D9E75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5F5E5A"/>
      <name val="Arial"/>
      <family val="0"/>
      <charset val="1"/>
    </font>
    <font>
      <b val="true"/>
      <sz val="9"/>
      <color rgb="FF2C2C2A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5F5E5A"/>
      <name val="Arial"/>
      <family val="0"/>
      <charset val="1"/>
    </font>
    <font>
      <sz val="9"/>
      <color rgb="FF5F5E5A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9"/>
      <color rgb="FF993C1D"/>
      <name val="Arial"/>
      <family val="0"/>
      <charset val="1"/>
    </font>
    <font>
      <sz val="9"/>
      <color rgb="FF3B6D11"/>
      <name val="Arial"/>
      <family val="0"/>
      <charset val="1"/>
    </font>
    <font>
      <sz val="9"/>
      <color rgb="FF185FA5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FFF"/>
        <bgColor rgb="FFF8F7F4"/>
      </patternFill>
    </fill>
    <fill>
      <patternFill patternType="solid">
        <fgColor rgb="FF2C2C2A"/>
        <bgColor rgb="FF1A1A1A"/>
      </patternFill>
    </fill>
    <fill>
      <patternFill patternType="solid">
        <fgColor rgb="FFF8F7F4"/>
        <bgColor rgb="FFFFFFFF"/>
      </patternFill>
    </fill>
    <fill>
      <patternFill patternType="solid">
        <fgColor rgb="FFFAEEDA"/>
        <bgColor rgb="FFF1EFE8"/>
      </patternFill>
    </fill>
    <fill>
      <patternFill patternType="solid">
        <fgColor rgb="FF185FA5"/>
        <bgColor rgb="FF0F6E56"/>
      </patternFill>
    </fill>
    <fill>
      <patternFill patternType="solid">
        <fgColor rgb="FFF1EFE8"/>
        <bgColor rgb="FFEAF3DE"/>
      </patternFill>
    </fill>
    <fill>
      <patternFill patternType="solid">
        <fgColor rgb="FFE1F5EE"/>
        <bgColor rgb="FFE6F1FB"/>
      </patternFill>
    </fill>
    <fill>
      <patternFill patternType="solid">
        <fgColor rgb="FFE6F1FB"/>
        <bgColor rgb="FFEEEDFE"/>
      </patternFill>
    </fill>
    <fill>
      <patternFill patternType="solid">
        <fgColor rgb="FFEAF3DE"/>
        <bgColor rgb="FFF1EFE8"/>
      </patternFill>
    </fill>
    <fill>
      <patternFill patternType="solid">
        <fgColor rgb="FF1D9E75"/>
        <bgColor rgb="FF008080"/>
      </patternFill>
    </fill>
    <fill>
      <patternFill patternType="solid">
        <fgColor rgb="FF534AB7"/>
        <bgColor rgb="FF5F5E5A"/>
      </patternFill>
    </fill>
    <fill>
      <patternFill patternType="solid">
        <fgColor rgb="FFEEEDFE"/>
        <bgColor rgb="FFE6F1FB"/>
      </patternFill>
    </fill>
    <fill>
      <patternFill patternType="solid">
        <fgColor rgb="FF854F0B"/>
        <bgColor rgb="FF993C1D"/>
      </patternFill>
    </fill>
    <fill>
      <patternFill patternType="solid">
        <fgColor rgb="FF3B6D11"/>
        <bgColor rgb="FF0F6E56"/>
      </patternFill>
    </fill>
    <fill>
      <patternFill patternType="solid">
        <fgColor rgb="FF5F5E5A"/>
        <bgColor rgb="FF3B6D1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E8E8E8"/>
      </left>
      <right style="thin">
        <color rgb="FFE8E8E8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1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800080"/>
      <rgbColor rgb="FF0F6E56"/>
      <rgbColor rgb="FFD3D1C7"/>
      <rgbColor rgb="FF808080"/>
      <rgbColor rgb="FF9999FF"/>
      <rgbColor rgb="FF993366"/>
      <rgbColor rgb="FFFAEEDA"/>
      <rgbColor rgb="FFE1F5EE"/>
      <rgbColor rgb="FF660066"/>
      <rgbColor rgb="FFFF8080"/>
      <rgbColor rgb="FF185FA5"/>
      <rgbColor rgb="FFE8E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1EFE8"/>
      <rgbColor rgb="FFF8F7F4"/>
      <rgbColor rgb="FFFF99CC"/>
      <rgbColor rgb="FFCC99FF"/>
      <rgbColor rgb="FFEEEDFE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1D9E75"/>
      <rgbColor rgb="FF003300"/>
      <rgbColor rgb="FF1A1A1A"/>
      <rgbColor rgb="FF993C1D"/>
      <rgbColor rgb="FF993366"/>
      <rgbColor rgb="FF534AB7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6" min="4" style="1" width="1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"/>
  </cols>
  <sheetData>
    <row r="1" customFormat="false" ht="7.5" hidden="false" customHeight="true" outlineLevel="0" collapsed="false"/>
    <row r="2" customFormat="false" ht="39.7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2"/>
    </row>
    <row r="3" customFormat="false" ht="21.75" hidden="false" customHeight="true" outlineLevel="0" collapsed="false">
      <c r="B3" s="4" t="s">
        <v>1</v>
      </c>
      <c r="C3" s="4"/>
      <c r="D3" s="4"/>
      <c r="E3" s="4"/>
      <c r="F3" s="4"/>
      <c r="G3" s="4"/>
      <c r="H3" s="4"/>
    </row>
    <row r="4" customFormat="false" ht="15.75" hidden="false" customHeight="true" outlineLevel="0" collapsed="false"/>
    <row r="5" customFormat="false" ht="25.5" hidden="false" customHeight="true" outlineLevel="0" collapsed="false">
      <c r="A5" s="5"/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5"/>
    </row>
    <row r="6" customFormat="false" ht="25.5" hidden="false" customHeight="true" outlineLevel="0" collapsed="false">
      <c r="A6" s="2"/>
      <c r="B6" s="7" t="s">
        <v>9</v>
      </c>
      <c r="C6" s="7"/>
      <c r="D6" s="7"/>
      <c r="E6" s="7"/>
      <c r="F6" s="7"/>
      <c r="G6" s="7"/>
      <c r="H6" s="7"/>
      <c r="I6" s="2"/>
    </row>
    <row r="7" customFormat="false" ht="19.5" hidden="false" customHeight="true" outlineLevel="0" collapsed="false">
      <c r="A7" s="8"/>
      <c r="B7" s="9" t="s">
        <v>10</v>
      </c>
      <c r="C7" s="10" t="s">
        <v>11</v>
      </c>
      <c r="D7" s="11" t="s">
        <v>12</v>
      </c>
      <c r="E7" s="11" t="s">
        <v>13</v>
      </c>
      <c r="F7" s="11" t="s">
        <v>14</v>
      </c>
      <c r="G7" s="12" t="s">
        <v>15</v>
      </c>
      <c r="H7" s="10" t="s">
        <v>16</v>
      </c>
      <c r="I7" s="8"/>
    </row>
    <row r="8" customFormat="false" ht="19.5" hidden="false" customHeight="true" outlineLevel="0" collapsed="false">
      <c r="A8" s="13"/>
      <c r="B8" s="14" t="s">
        <v>17</v>
      </c>
      <c r="C8" s="15" t="s">
        <v>18</v>
      </c>
      <c r="D8" s="16" t="s">
        <v>12</v>
      </c>
      <c r="E8" s="16" t="s">
        <v>13</v>
      </c>
      <c r="F8" s="16" t="s">
        <v>14</v>
      </c>
      <c r="G8" s="12" t="s">
        <v>15</v>
      </c>
      <c r="H8" s="15" t="s">
        <v>19</v>
      </c>
      <c r="I8" s="13"/>
    </row>
    <row r="9" customFormat="false" ht="19.5" hidden="false" customHeight="true" outlineLevel="0" collapsed="false">
      <c r="A9" s="8"/>
      <c r="B9" s="9" t="s">
        <v>20</v>
      </c>
      <c r="C9" s="10" t="s">
        <v>21</v>
      </c>
      <c r="D9" s="11" t="s">
        <v>13</v>
      </c>
      <c r="E9" s="11" t="s">
        <v>22</v>
      </c>
      <c r="F9" s="11" t="s">
        <v>14</v>
      </c>
      <c r="G9" s="12" t="s">
        <v>15</v>
      </c>
      <c r="H9" s="10" t="s">
        <v>23</v>
      </c>
      <c r="I9" s="8"/>
    </row>
    <row r="10" customFormat="false" ht="19.5" hidden="false" customHeight="true" outlineLevel="0" collapsed="false">
      <c r="A10" s="13"/>
      <c r="B10" s="14" t="s">
        <v>24</v>
      </c>
      <c r="C10" s="15" t="s">
        <v>25</v>
      </c>
      <c r="D10" s="16" t="s">
        <v>12</v>
      </c>
      <c r="E10" s="16" t="s">
        <v>13</v>
      </c>
      <c r="F10" s="16" t="s">
        <v>14</v>
      </c>
      <c r="G10" s="12" t="s">
        <v>15</v>
      </c>
      <c r="H10" s="15" t="s">
        <v>26</v>
      </c>
      <c r="I10" s="13"/>
    </row>
    <row r="11" customFormat="false" ht="19.5" hidden="false" customHeight="true" outlineLevel="0" collapsed="false">
      <c r="A11" s="8"/>
      <c r="B11" s="9" t="s">
        <v>27</v>
      </c>
      <c r="C11" s="10" t="s">
        <v>28</v>
      </c>
      <c r="D11" s="11" t="s">
        <v>12</v>
      </c>
      <c r="E11" s="11" t="s">
        <v>22</v>
      </c>
      <c r="F11" s="11" t="s">
        <v>29</v>
      </c>
      <c r="G11" s="12" t="s">
        <v>15</v>
      </c>
      <c r="H11" s="10" t="s">
        <v>30</v>
      </c>
      <c r="I11" s="8"/>
    </row>
    <row r="12" customFormat="false" ht="19.5" hidden="false" customHeight="true" outlineLevel="0" collapsed="false">
      <c r="A12" s="13"/>
      <c r="B12" s="14" t="s">
        <v>31</v>
      </c>
      <c r="C12" s="15" t="s">
        <v>32</v>
      </c>
      <c r="D12" s="16" t="s">
        <v>12</v>
      </c>
      <c r="E12" s="16" t="s">
        <v>13</v>
      </c>
      <c r="F12" s="16" t="s">
        <v>14</v>
      </c>
      <c r="G12" s="12" t="s">
        <v>15</v>
      </c>
      <c r="H12" s="15" t="s">
        <v>33</v>
      </c>
      <c r="I12" s="13"/>
    </row>
    <row r="13" customFormat="false" ht="19.5" hidden="false" customHeight="true" outlineLevel="0" collapsed="false">
      <c r="A13" s="8"/>
      <c r="B13" s="9" t="s">
        <v>34</v>
      </c>
      <c r="C13" s="10" t="s">
        <v>35</v>
      </c>
      <c r="D13" s="11" t="s">
        <v>13</v>
      </c>
      <c r="E13" s="11" t="s">
        <v>22</v>
      </c>
      <c r="F13" s="11" t="s">
        <v>14</v>
      </c>
      <c r="G13" s="12" t="s">
        <v>15</v>
      </c>
      <c r="H13" s="10" t="s">
        <v>36</v>
      </c>
      <c r="I13" s="8"/>
    </row>
    <row r="14" customFormat="false" ht="25.5" hidden="false" customHeight="true" outlineLevel="0" collapsed="false">
      <c r="A14" s="17"/>
      <c r="B14" s="18" t="s">
        <v>37</v>
      </c>
      <c r="C14" s="18"/>
      <c r="D14" s="18"/>
      <c r="E14" s="18"/>
      <c r="F14" s="18"/>
      <c r="G14" s="18"/>
      <c r="H14" s="18"/>
      <c r="I14" s="17"/>
    </row>
    <row r="15" customFormat="false" ht="19.5" hidden="false" customHeight="true" outlineLevel="0" collapsed="false">
      <c r="A15" s="8"/>
      <c r="B15" s="9" t="s">
        <v>38</v>
      </c>
      <c r="C15" s="10" t="s">
        <v>39</v>
      </c>
      <c r="D15" s="11" t="s">
        <v>22</v>
      </c>
      <c r="E15" s="11" t="s">
        <v>40</v>
      </c>
      <c r="F15" s="11" t="s">
        <v>14</v>
      </c>
      <c r="G15" s="19" t="s">
        <v>41</v>
      </c>
      <c r="H15" s="10" t="s">
        <v>42</v>
      </c>
      <c r="I15" s="8"/>
    </row>
    <row r="16" customFormat="false" ht="19.5" hidden="false" customHeight="true" outlineLevel="0" collapsed="false">
      <c r="A16" s="13"/>
      <c r="B16" s="14" t="s">
        <v>43</v>
      </c>
      <c r="C16" s="15" t="s">
        <v>44</v>
      </c>
      <c r="D16" s="16" t="s">
        <v>40</v>
      </c>
      <c r="E16" s="16" t="s">
        <v>45</v>
      </c>
      <c r="F16" s="16" t="s">
        <v>14</v>
      </c>
      <c r="G16" s="19" t="s">
        <v>41</v>
      </c>
      <c r="H16" s="15" t="s">
        <v>46</v>
      </c>
      <c r="I16" s="13"/>
    </row>
    <row r="17" customFormat="false" ht="19.5" hidden="false" customHeight="true" outlineLevel="0" collapsed="false">
      <c r="A17" s="8"/>
      <c r="B17" s="9" t="s">
        <v>47</v>
      </c>
      <c r="C17" s="10" t="s">
        <v>48</v>
      </c>
      <c r="D17" s="11" t="s">
        <v>45</v>
      </c>
      <c r="E17" s="11" t="s">
        <v>49</v>
      </c>
      <c r="F17" s="11" t="s">
        <v>14</v>
      </c>
      <c r="G17" s="19" t="s">
        <v>41</v>
      </c>
      <c r="H17" s="10" t="s">
        <v>50</v>
      </c>
      <c r="I17" s="8"/>
    </row>
    <row r="18" customFormat="false" ht="19.5" hidden="false" customHeight="true" outlineLevel="0" collapsed="false">
      <c r="A18" s="13"/>
      <c r="B18" s="14" t="s">
        <v>51</v>
      </c>
      <c r="C18" s="15" t="s">
        <v>52</v>
      </c>
      <c r="D18" s="16" t="s">
        <v>49</v>
      </c>
      <c r="E18" s="16" t="s">
        <v>53</v>
      </c>
      <c r="F18" s="16" t="s">
        <v>14</v>
      </c>
      <c r="G18" s="19" t="s">
        <v>41</v>
      </c>
      <c r="H18" s="15" t="s">
        <v>54</v>
      </c>
      <c r="I18" s="13"/>
    </row>
    <row r="19" customFormat="false" ht="19.5" hidden="false" customHeight="true" outlineLevel="0" collapsed="false">
      <c r="A19" s="8"/>
      <c r="B19" s="9" t="s">
        <v>55</v>
      </c>
      <c r="C19" s="10" t="s">
        <v>56</v>
      </c>
      <c r="D19" s="11" t="s">
        <v>53</v>
      </c>
      <c r="E19" s="11" t="s">
        <v>57</v>
      </c>
      <c r="F19" s="11" t="s">
        <v>14</v>
      </c>
      <c r="G19" s="19" t="s">
        <v>41</v>
      </c>
      <c r="H19" s="10" t="s">
        <v>58</v>
      </c>
      <c r="I19" s="8"/>
    </row>
    <row r="20" customFormat="false" ht="19.5" hidden="false" customHeight="true" outlineLevel="0" collapsed="false">
      <c r="A20" s="13"/>
      <c r="B20" s="14" t="s">
        <v>59</v>
      </c>
      <c r="C20" s="15" t="s">
        <v>60</v>
      </c>
      <c r="D20" s="16" t="s">
        <v>57</v>
      </c>
      <c r="E20" s="16" t="s">
        <v>57</v>
      </c>
      <c r="F20" s="16" t="s">
        <v>61</v>
      </c>
      <c r="G20" s="19" t="s">
        <v>41</v>
      </c>
      <c r="H20" s="15" t="s">
        <v>62</v>
      </c>
      <c r="I20" s="13"/>
    </row>
    <row r="21" customFormat="false" ht="19.5" hidden="false" customHeight="true" outlineLevel="0" collapsed="false">
      <c r="A21" s="8"/>
      <c r="B21" s="9" t="s">
        <v>63</v>
      </c>
      <c r="C21" s="10" t="s">
        <v>64</v>
      </c>
      <c r="D21" s="11" t="s">
        <v>57</v>
      </c>
      <c r="E21" s="11" t="s">
        <v>65</v>
      </c>
      <c r="F21" s="11" t="s">
        <v>14</v>
      </c>
      <c r="G21" s="19" t="s">
        <v>41</v>
      </c>
      <c r="H21" s="10" t="s">
        <v>66</v>
      </c>
      <c r="I21" s="8"/>
    </row>
    <row r="22" customFormat="false" ht="19.5" hidden="false" customHeight="true" outlineLevel="0" collapsed="false">
      <c r="A22" s="13"/>
      <c r="B22" s="14" t="s">
        <v>67</v>
      </c>
      <c r="C22" s="15" t="s">
        <v>68</v>
      </c>
      <c r="D22" s="16" t="s">
        <v>57</v>
      </c>
      <c r="E22" s="16" t="s">
        <v>65</v>
      </c>
      <c r="F22" s="16" t="s">
        <v>14</v>
      </c>
      <c r="G22" s="19" t="s">
        <v>41</v>
      </c>
      <c r="H22" s="15" t="s">
        <v>69</v>
      </c>
      <c r="I22" s="13"/>
    </row>
    <row r="23" customFormat="false" ht="19.5" hidden="false" customHeight="true" outlineLevel="0" collapsed="false">
      <c r="A23" s="8"/>
      <c r="B23" s="9" t="s">
        <v>70</v>
      </c>
      <c r="C23" s="10" t="s">
        <v>71</v>
      </c>
      <c r="D23" s="11" t="s">
        <v>65</v>
      </c>
      <c r="E23" s="11" t="s">
        <v>65</v>
      </c>
      <c r="F23" s="11" t="s">
        <v>61</v>
      </c>
      <c r="G23" s="19" t="s">
        <v>41</v>
      </c>
      <c r="H23" s="10" t="s">
        <v>72</v>
      </c>
      <c r="I23" s="8"/>
    </row>
    <row r="24" customFormat="false" ht="19.5" hidden="false" customHeight="true" outlineLevel="0" collapsed="false">
      <c r="A24" s="20"/>
      <c r="B24" s="21" t="s">
        <v>73</v>
      </c>
      <c r="C24" s="22" t="s">
        <v>74</v>
      </c>
      <c r="D24" s="23" t="s">
        <v>65</v>
      </c>
      <c r="E24" s="23" t="s">
        <v>65</v>
      </c>
      <c r="F24" s="23" t="s">
        <v>61</v>
      </c>
      <c r="G24" s="19" t="s">
        <v>41</v>
      </c>
      <c r="H24" s="22" t="s">
        <v>75</v>
      </c>
      <c r="I24" s="20"/>
    </row>
    <row r="25" customFormat="false" ht="25.5" hidden="false" customHeight="true" outlineLevel="0" collapsed="false">
      <c r="A25" s="2"/>
      <c r="B25" s="7" t="s">
        <v>76</v>
      </c>
      <c r="C25" s="7"/>
      <c r="D25" s="7"/>
      <c r="E25" s="7"/>
      <c r="F25" s="7"/>
      <c r="G25" s="7"/>
      <c r="H25" s="7"/>
      <c r="I25" s="2"/>
    </row>
    <row r="26" customFormat="false" ht="19.5" hidden="false" customHeight="true" outlineLevel="0" collapsed="false">
      <c r="A26" s="13"/>
      <c r="B26" s="14" t="s">
        <v>77</v>
      </c>
      <c r="C26" s="15" t="s">
        <v>78</v>
      </c>
      <c r="D26" s="16" t="s">
        <v>79</v>
      </c>
      <c r="E26" s="16" t="s">
        <v>80</v>
      </c>
      <c r="F26" s="16" t="s">
        <v>29</v>
      </c>
      <c r="G26" s="19" t="s">
        <v>41</v>
      </c>
      <c r="H26" s="15" t="s">
        <v>81</v>
      </c>
      <c r="I26" s="13"/>
    </row>
    <row r="27" customFormat="false" ht="19.5" hidden="false" customHeight="true" outlineLevel="0" collapsed="false">
      <c r="A27" s="8"/>
      <c r="B27" s="9" t="s">
        <v>82</v>
      </c>
      <c r="C27" s="10" t="s">
        <v>83</v>
      </c>
      <c r="D27" s="11" t="s">
        <v>80</v>
      </c>
      <c r="E27" s="11" t="s">
        <v>84</v>
      </c>
      <c r="F27" s="11" t="s">
        <v>14</v>
      </c>
      <c r="G27" s="19" t="s">
        <v>41</v>
      </c>
      <c r="H27" s="10" t="s">
        <v>85</v>
      </c>
      <c r="I27" s="8"/>
    </row>
    <row r="28" customFormat="false" ht="19.5" hidden="false" customHeight="true" outlineLevel="0" collapsed="false">
      <c r="A28" s="13"/>
      <c r="B28" s="14" t="s">
        <v>86</v>
      </c>
      <c r="C28" s="15" t="s">
        <v>87</v>
      </c>
      <c r="D28" s="16" t="s">
        <v>79</v>
      </c>
      <c r="E28" s="16" t="s">
        <v>80</v>
      </c>
      <c r="F28" s="16" t="s">
        <v>29</v>
      </c>
      <c r="G28" s="19" t="s">
        <v>41</v>
      </c>
      <c r="H28" s="15" t="s">
        <v>88</v>
      </c>
      <c r="I28" s="13"/>
    </row>
    <row r="29" customFormat="false" ht="19.5" hidden="false" customHeight="true" outlineLevel="0" collapsed="false">
      <c r="A29" s="8"/>
      <c r="B29" s="9" t="s">
        <v>89</v>
      </c>
      <c r="C29" s="10" t="s">
        <v>90</v>
      </c>
      <c r="D29" s="11" t="s">
        <v>84</v>
      </c>
      <c r="E29" s="11" t="s">
        <v>91</v>
      </c>
      <c r="F29" s="11" t="s">
        <v>29</v>
      </c>
      <c r="G29" s="19" t="s">
        <v>41</v>
      </c>
      <c r="H29" s="10" t="s">
        <v>92</v>
      </c>
      <c r="I29" s="8"/>
    </row>
    <row r="30" customFormat="false" ht="19.5" hidden="false" customHeight="true" outlineLevel="0" collapsed="false">
      <c r="A30" s="13"/>
      <c r="B30" s="14" t="s">
        <v>93</v>
      </c>
      <c r="C30" s="15" t="s">
        <v>94</v>
      </c>
      <c r="D30" s="16" t="s">
        <v>95</v>
      </c>
      <c r="E30" s="16" t="s">
        <v>84</v>
      </c>
      <c r="F30" s="16" t="s">
        <v>29</v>
      </c>
      <c r="G30" s="19" t="s">
        <v>41</v>
      </c>
      <c r="H30" s="15" t="s">
        <v>96</v>
      </c>
      <c r="I30" s="13"/>
    </row>
    <row r="31" customFormat="false" ht="19.5" hidden="false" customHeight="true" outlineLevel="0" collapsed="false">
      <c r="A31" s="8"/>
      <c r="B31" s="9" t="s">
        <v>97</v>
      </c>
      <c r="C31" s="10" t="s">
        <v>98</v>
      </c>
      <c r="D31" s="11" t="s">
        <v>95</v>
      </c>
      <c r="E31" s="11" t="s">
        <v>99</v>
      </c>
      <c r="F31" s="11" t="s">
        <v>100</v>
      </c>
      <c r="G31" s="19" t="s">
        <v>41</v>
      </c>
      <c r="H31" s="10" t="s">
        <v>101</v>
      </c>
      <c r="I31" s="8"/>
    </row>
    <row r="32" customFormat="false" ht="19.5" hidden="false" customHeight="true" outlineLevel="0" collapsed="false">
      <c r="A32" s="13"/>
      <c r="B32" s="14" t="s">
        <v>102</v>
      </c>
      <c r="C32" s="15" t="s">
        <v>103</v>
      </c>
      <c r="D32" s="16" t="s">
        <v>99</v>
      </c>
      <c r="E32" s="16" t="s">
        <v>104</v>
      </c>
      <c r="F32" s="16" t="s">
        <v>29</v>
      </c>
      <c r="G32" s="19" t="s">
        <v>41</v>
      </c>
      <c r="H32" s="15" t="s">
        <v>105</v>
      </c>
      <c r="I32" s="13"/>
    </row>
    <row r="33" customFormat="false" ht="19.5" hidden="false" customHeight="true" outlineLevel="0" collapsed="false">
      <c r="A33" s="8"/>
      <c r="B33" s="9" t="s">
        <v>106</v>
      </c>
      <c r="C33" s="10" t="s">
        <v>107</v>
      </c>
      <c r="D33" s="11" t="s">
        <v>91</v>
      </c>
      <c r="E33" s="11" t="s">
        <v>108</v>
      </c>
      <c r="F33" s="11" t="s">
        <v>29</v>
      </c>
      <c r="G33" s="19" t="s">
        <v>41</v>
      </c>
      <c r="H33" s="10" t="s">
        <v>109</v>
      </c>
      <c r="I33" s="8"/>
    </row>
    <row r="34" customFormat="false" ht="19.5" hidden="false" customHeight="true" outlineLevel="0" collapsed="false">
      <c r="A34" s="13"/>
      <c r="B34" s="14" t="s">
        <v>110</v>
      </c>
      <c r="C34" s="15" t="s">
        <v>111</v>
      </c>
      <c r="D34" s="16" t="s">
        <v>80</v>
      </c>
      <c r="E34" s="16" t="s">
        <v>91</v>
      </c>
      <c r="F34" s="16" t="s">
        <v>100</v>
      </c>
      <c r="G34" s="19" t="s">
        <v>41</v>
      </c>
      <c r="H34" s="15" t="s">
        <v>112</v>
      </c>
      <c r="I34" s="13"/>
    </row>
    <row r="35" customFormat="false" ht="19.5" hidden="false" customHeight="true" outlineLevel="0" collapsed="false">
      <c r="A35" s="8"/>
      <c r="B35" s="9" t="s">
        <v>113</v>
      </c>
      <c r="C35" s="10" t="s">
        <v>114</v>
      </c>
      <c r="D35" s="11" t="s">
        <v>91</v>
      </c>
      <c r="E35" s="11" t="s">
        <v>108</v>
      </c>
      <c r="F35" s="11" t="s">
        <v>29</v>
      </c>
      <c r="G35" s="19" t="s">
        <v>41</v>
      </c>
      <c r="H35" s="10" t="s">
        <v>115</v>
      </c>
      <c r="I35" s="8"/>
    </row>
    <row r="36" customFormat="false" ht="19.5" hidden="false" customHeight="true" outlineLevel="0" collapsed="false">
      <c r="A36" s="13"/>
      <c r="B36" s="14" t="s">
        <v>116</v>
      </c>
      <c r="C36" s="15" t="s">
        <v>117</v>
      </c>
      <c r="D36" s="16" t="s">
        <v>84</v>
      </c>
      <c r="E36" s="16" t="s">
        <v>118</v>
      </c>
      <c r="F36" s="16" t="s">
        <v>119</v>
      </c>
      <c r="G36" s="19" t="s">
        <v>41</v>
      </c>
      <c r="H36" s="15" t="s">
        <v>120</v>
      </c>
      <c r="I36" s="13"/>
    </row>
    <row r="37" customFormat="false" ht="19.5" hidden="false" customHeight="true" outlineLevel="0" collapsed="false">
      <c r="A37" s="8"/>
      <c r="B37" s="9" t="s">
        <v>121</v>
      </c>
      <c r="C37" s="10" t="s">
        <v>122</v>
      </c>
      <c r="D37" s="11" t="s">
        <v>99</v>
      </c>
      <c r="E37" s="11" t="s">
        <v>108</v>
      </c>
      <c r="F37" s="11" t="s">
        <v>100</v>
      </c>
      <c r="G37" s="19" t="s">
        <v>41</v>
      </c>
      <c r="H37" s="10" t="s">
        <v>123</v>
      </c>
      <c r="I37" s="8"/>
    </row>
    <row r="38" customFormat="false" ht="19.5" hidden="false" customHeight="true" outlineLevel="0" collapsed="false">
      <c r="A38" s="13"/>
      <c r="B38" s="14" t="s">
        <v>124</v>
      </c>
      <c r="C38" s="15" t="s">
        <v>125</v>
      </c>
      <c r="D38" s="16" t="s">
        <v>104</v>
      </c>
      <c r="E38" s="16" t="s">
        <v>108</v>
      </c>
      <c r="F38" s="16" t="s">
        <v>14</v>
      </c>
      <c r="G38" s="19" t="s">
        <v>41</v>
      </c>
      <c r="H38" s="15" t="s">
        <v>126</v>
      </c>
      <c r="I38" s="13"/>
    </row>
    <row r="39" customFormat="false" ht="19.5" hidden="false" customHeight="true" outlineLevel="0" collapsed="false">
      <c r="A39" s="8"/>
      <c r="B39" s="9" t="s">
        <v>127</v>
      </c>
      <c r="C39" s="10" t="s">
        <v>128</v>
      </c>
      <c r="D39" s="11" t="s">
        <v>108</v>
      </c>
      <c r="E39" s="11" t="s">
        <v>118</v>
      </c>
      <c r="F39" s="11" t="s">
        <v>14</v>
      </c>
      <c r="G39" s="19" t="s">
        <v>41</v>
      </c>
      <c r="H39" s="10" t="s">
        <v>129</v>
      </c>
      <c r="I39" s="8"/>
    </row>
    <row r="40" customFormat="false" ht="19.5" hidden="false" customHeight="true" outlineLevel="0" collapsed="false">
      <c r="A40" s="20"/>
      <c r="B40" s="21" t="s">
        <v>130</v>
      </c>
      <c r="C40" s="22" t="s">
        <v>131</v>
      </c>
      <c r="D40" s="23" t="s">
        <v>118</v>
      </c>
      <c r="E40" s="23" t="s">
        <v>118</v>
      </c>
      <c r="F40" s="23" t="s">
        <v>61</v>
      </c>
      <c r="G40" s="19" t="s">
        <v>41</v>
      </c>
      <c r="H40" s="22" t="s">
        <v>132</v>
      </c>
      <c r="I40" s="20"/>
    </row>
    <row r="41" customFormat="false" ht="25.5" hidden="false" customHeight="true" outlineLevel="0" collapsed="false">
      <c r="A41" s="2"/>
      <c r="B41" s="7" t="s">
        <v>133</v>
      </c>
      <c r="C41" s="7"/>
      <c r="D41" s="7"/>
      <c r="E41" s="7"/>
      <c r="F41" s="7"/>
      <c r="G41" s="7"/>
      <c r="H41" s="7"/>
      <c r="I41" s="2"/>
    </row>
    <row r="42" customFormat="false" ht="19.5" hidden="false" customHeight="true" outlineLevel="0" collapsed="false">
      <c r="A42" s="13"/>
      <c r="B42" s="14" t="s">
        <v>134</v>
      </c>
      <c r="C42" s="15" t="s">
        <v>135</v>
      </c>
      <c r="D42" s="16" t="s">
        <v>136</v>
      </c>
      <c r="E42" s="16" t="s">
        <v>137</v>
      </c>
      <c r="F42" s="16" t="s">
        <v>100</v>
      </c>
      <c r="G42" s="19" t="s">
        <v>41</v>
      </c>
      <c r="H42" s="15" t="s">
        <v>138</v>
      </c>
      <c r="I42" s="13"/>
    </row>
    <row r="43" customFormat="false" ht="19.5" hidden="false" customHeight="true" outlineLevel="0" collapsed="false">
      <c r="A43" s="8"/>
      <c r="B43" s="9" t="s">
        <v>139</v>
      </c>
      <c r="C43" s="10" t="s">
        <v>140</v>
      </c>
      <c r="D43" s="11" t="s">
        <v>136</v>
      </c>
      <c r="E43" s="11" t="s">
        <v>141</v>
      </c>
      <c r="F43" s="11" t="s">
        <v>29</v>
      </c>
      <c r="G43" s="19" t="s">
        <v>41</v>
      </c>
      <c r="H43" s="10" t="s">
        <v>142</v>
      </c>
      <c r="I43" s="8"/>
    </row>
    <row r="44" customFormat="false" ht="19.5" hidden="false" customHeight="true" outlineLevel="0" collapsed="false">
      <c r="A44" s="13"/>
      <c r="B44" s="14" t="s">
        <v>143</v>
      </c>
      <c r="C44" s="15" t="s">
        <v>144</v>
      </c>
      <c r="D44" s="16" t="s">
        <v>141</v>
      </c>
      <c r="E44" s="16" t="s">
        <v>145</v>
      </c>
      <c r="F44" s="16" t="s">
        <v>29</v>
      </c>
      <c r="G44" s="19" t="s">
        <v>41</v>
      </c>
      <c r="H44" s="15" t="s">
        <v>146</v>
      </c>
      <c r="I44" s="13"/>
    </row>
    <row r="45" customFormat="false" ht="19.5" hidden="false" customHeight="true" outlineLevel="0" collapsed="false">
      <c r="A45" s="8"/>
      <c r="B45" s="9" t="s">
        <v>147</v>
      </c>
      <c r="C45" s="10" t="s">
        <v>148</v>
      </c>
      <c r="D45" s="11" t="s">
        <v>137</v>
      </c>
      <c r="E45" s="11" t="s">
        <v>149</v>
      </c>
      <c r="F45" s="11" t="s">
        <v>100</v>
      </c>
      <c r="G45" s="19" t="s">
        <v>41</v>
      </c>
      <c r="H45" s="10" t="s">
        <v>150</v>
      </c>
      <c r="I45" s="8"/>
    </row>
    <row r="46" customFormat="false" ht="19.5" hidden="false" customHeight="true" outlineLevel="0" collapsed="false">
      <c r="A46" s="13"/>
      <c r="B46" s="14" t="s">
        <v>151</v>
      </c>
      <c r="C46" s="15" t="s">
        <v>152</v>
      </c>
      <c r="D46" s="16" t="s">
        <v>153</v>
      </c>
      <c r="E46" s="16" t="s">
        <v>154</v>
      </c>
      <c r="F46" s="16" t="s">
        <v>155</v>
      </c>
      <c r="G46" s="19" t="s">
        <v>41</v>
      </c>
      <c r="H46" s="15" t="s">
        <v>156</v>
      </c>
      <c r="I46" s="13"/>
    </row>
    <row r="47" customFormat="false" ht="19.5" hidden="false" customHeight="true" outlineLevel="0" collapsed="false">
      <c r="A47" s="8"/>
      <c r="B47" s="9" t="s">
        <v>157</v>
      </c>
      <c r="C47" s="10" t="s">
        <v>158</v>
      </c>
      <c r="D47" s="11" t="s">
        <v>137</v>
      </c>
      <c r="E47" s="11" t="s">
        <v>149</v>
      </c>
      <c r="F47" s="11" t="s">
        <v>100</v>
      </c>
      <c r="G47" s="19" t="s">
        <v>41</v>
      </c>
      <c r="H47" s="10" t="s">
        <v>159</v>
      </c>
      <c r="I47" s="8"/>
    </row>
    <row r="48" customFormat="false" ht="19.5" hidden="false" customHeight="true" outlineLevel="0" collapsed="false">
      <c r="A48" s="13"/>
      <c r="B48" s="14" t="s">
        <v>160</v>
      </c>
      <c r="C48" s="15" t="s">
        <v>161</v>
      </c>
      <c r="D48" s="16" t="s">
        <v>141</v>
      </c>
      <c r="E48" s="16" t="s">
        <v>154</v>
      </c>
      <c r="F48" s="16" t="s">
        <v>100</v>
      </c>
      <c r="G48" s="19" t="s">
        <v>41</v>
      </c>
      <c r="H48" s="15" t="s">
        <v>162</v>
      </c>
      <c r="I48" s="13"/>
    </row>
    <row r="49" customFormat="false" ht="19.5" hidden="false" customHeight="true" outlineLevel="0" collapsed="false">
      <c r="A49" s="8"/>
      <c r="B49" s="9" t="s">
        <v>163</v>
      </c>
      <c r="C49" s="10" t="s">
        <v>164</v>
      </c>
      <c r="D49" s="11" t="s">
        <v>153</v>
      </c>
      <c r="E49" s="11" t="s">
        <v>149</v>
      </c>
      <c r="F49" s="11" t="s">
        <v>119</v>
      </c>
      <c r="G49" s="19" t="s">
        <v>41</v>
      </c>
      <c r="H49" s="10" t="s">
        <v>165</v>
      </c>
      <c r="I49" s="8"/>
    </row>
    <row r="50" customFormat="false" ht="19.5" hidden="false" customHeight="true" outlineLevel="0" collapsed="false">
      <c r="A50" s="13"/>
      <c r="B50" s="14" t="s">
        <v>166</v>
      </c>
      <c r="C50" s="15" t="s">
        <v>167</v>
      </c>
      <c r="D50" s="16" t="s">
        <v>145</v>
      </c>
      <c r="E50" s="16" t="s">
        <v>168</v>
      </c>
      <c r="F50" s="16" t="s">
        <v>100</v>
      </c>
      <c r="G50" s="19" t="s">
        <v>41</v>
      </c>
      <c r="H50" s="15" t="s">
        <v>169</v>
      </c>
      <c r="I50" s="13"/>
    </row>
    <row r="51" customFormat="false" ht="19.5" hidden="false" customHeight="true" outlineLevel="0" collapsed="false">
      <c r="A51" s="8"/>
      <c r="B51" s="9" t="s">
        <v>170</v>
      </c>
      <c r="C51" s="10" t="s">
        <v>171</v>
      </c>
      <c r="D51" s="11" t="s">
        <v>154</v>
      </c>
      <c r="E51" s="11" t="s">
        <v>168</v>
      </c>
      <c r="F51" s="11" t="s">
        <v>29</v>
      </c>
      <c r="G51" s="19" t="s">
        <v>41</v>
      </c>
      <c r="H51" s="10" t="s">
        <v>172</v>
      </c>
      <c r="I51" s="8"/>
    </row>
    <row r="52" customFormat="false" ht="19.5" hidden="false" customHeight="true" outlineLevel="0" collapsed="false">
      <c r="A52" s="13"/>
      <c r="B52" s="14" t="s">
        <v>173</v>
      </c>
      <c r="C52" s="15" t="s">
        <v>174</v>
      </c>
      <c r="D52" s="16" t="s">
        <v>149</v>
      </c>
      <c r="E52" s="16" t="s">
        <v>175</v>
      </c>
      <c r="F52" s="16" t="s">
        <v>29</v>
      </c>
      <c r="G52" s="19" t="s">
        <v>41</v>
      </c>
      <c r="H52" s="15" t="s">
        <v>176</v>
      </c>
      <c r="I52" s="13"/>
    </row>
    <row r="53" customFormat="false" ht="19.5" hidden="false" customHeight="true" outlineLevel="0" collapsed="false">
      <c r="A53" s="20"/>
      <c r="B53" s="21" t="s">
        <v>177</v>
      </c>
      <c r="C53" s="22" t="s">
        <v>178</v>
      </c>
      <c r="D53" s="23" t="s">
        <v>175</v>
      </c>
      <c r="E53" s="23" t="s">
        <v>175</v>
      </c>
      <c r="F53" s="23" t="s">
        <v>61</v>
      </c>
      <c r="G53" s="19" t="s">
        <v>41</v>
      </c>
      <c r="H53" s="22"/>
      <c r="I53" s="20"/>
    </row>
    <row r="54" customFormat="false" ht="25.5" hidden="false" customHeight="true" outlineLevel="0" collapsed="false">
      <c r="A54" s="2"/>
      <c r="B54" s="7" t="s">
        <v>179</v>
      </c>
      <c r="C54" s="7"/>
      <c r="D54" s="7"/>
      <c r="E54" s="7"/>
      <c r="F54" s="7"/>
      <c r="G54" s="7"/>
      <c r="H54" s="7"/>
      <c r="I54" s="2"/>
    </row>
    <row r="55" customFormat="false" ht="19.5" hidden="false" customHeight="true" outlineLevel="0" collapsed="false">
      <c r="A55" s="8"/>
      <c r="B55" s="9" t="s">
        <v>180</v>
      </c>
      <c r="C55" s="10" t="s">
        <v>181</v>
      </c>
      <c r="D55" s="11" t="s">
        <v>182</v>
      </c>
      <c r="E55" s="11" t="s">
        <v>183</v>
      </c>
      <c r="F55" s="11" t="s">
        <v>29</v>
      </c>
      <c r="G55" s="19" t="s">
        <v>41</v>
      </c>
      <c r="H55" s="10" t="s">
        <v>184</v>
      </c>
      <c r="I55" s="8"/>
    </row>
    <row r="56" customFormat="false" ht="19.5" hidden="false" customHeight="true" outlineLevel="0" collapsed="false">
      <c r="A56" s="13"/>
      <c r="B56" s="14" t="s">
        <v>185</v>
      </c>
      <c r="C56" s="15" t="s">
        <v>186</v>
      </c>
      <c r="D56" s="16" t="s">
        <v>182</v>
      </c>
      <c r="E56" s="16" t="s">
        <v>187</v>
      </c>
      <c r="F56" s="16" t="s">
        <v>155</v>
      </c>
      <c r="G56" s="19" t="s">
        <v>41</v>
      </c>
      <c r="H56" s="15" t="s">
        <v>188</v>
      </c>
      <c r="I56" s="13"/>
    </row>
    <row r="57" customFormat="false" ht="19.5" hidden="false" customHeight="true" outlineLevel="0" collapsed="false">
      <c r="A57" s="8"/>
      <c r="B57" s="9" t="s">
        <v>189</v>
      </c>
      <c r="C57" s="10" t="s">
        <v>190</v>
      </c>
      <c r="D57" s="11" t="s">
        <v>191</v>
      </c>
      <c r="E57" s="11" t="s">
        <v>192</v>
      </c>
      <c r="F57" s="11" t="s">
        <v>155</v>
      </c>
      <c r="G57" s="19" t="s">
        <v>41</v>
      </c>
      <c r="H57" s="10" t="s">
        <v>193</v>
      </c>
      <c r="I57" s="8"/>
    </row>
    <row r="58" customFormat="false" ht="19.5" hidden="false" customHeight="true" outlineLevel="0" collapsed="false">
      <c r="A58" s="13"/>
      <c r="B58" s="14" t="s">
        <v>194</v>
      </c>
      <c r="C58" s="15" t="s">
        <v>195</v>
      </c>
      <c r="D58" s="16" t="s">
        <v>183</v>
      </c>
      <c r="E58" s="16" t="s">
        <v>192</v>
      </c>
      <c r="F58" s="16" t="s">
        <v>100</v>
      </c>
      <c r="G58" s="19" t="s">
        <v>41</v>
      </c>
      <c r="H58" s="15" t="s">
        <v>196</v>
      </c>
      <c r="I58" s="13"/>
    </row>
    <row r="59" customFormat="false" ht="19.5" hidden="false" customHeight="true" outlineLevel="0" collapsed="false">
      <c r="A59" s="8"/>
      <c r="B59" s="9" t="s">
        <v>197</v>
      </c>
      <c r="C59" s="10" t="s">
        <v>198</v>
      </c>
      <c r="D59" s="11" t="s">
        <v>183</v>
      </c>
      <c r="E59" s="11" t="s">
        <v>199</v>
      </c>
      <c r="F59" s="11" t="s">
        <v>155</v>
      </c>
      <c r="G59" s="19" t="s">
        <v>41</v>
      </c>
      <c r="H59" s="10" t="s">
        <v>200</v>
      </c>
      <c r="I59" s="8"/>
    </row>
    <row r="60" customFormat="false" ht="19.5" hidden="false" customHeight="true" outlineLevel="0" collapsed="false">
      <c r="A60" s="13"/>
      <c r="B60" s="14" t="s">
        <v>201</v>
      </c>
      <c r="C60" s="15" t="s">
        <v>202</v>
      </c>
      <c r="D60" s="16" t="s">
        <v>187</v>
      </c>
      <c r="E60" s="16" t="s">
        <v>203</v>
      </c>
      <c r="F60" s="16" t="s">
        <v>155</v>
      </c>
      <c r="G60" s="19" t="s">
        <v>41</v>
      </c>
      <c r="H60" s="15" t="s">
        <v>204</v>
      </c>
      <c r="I60" s="13"/>
    </row>
    <row r="61" customFormat="false" ht="19.5" hidden="false" customHeight="true" outlineLevel="0" collapsed="false">
      <c r="A61" s="20"/>
      <c r="B61" s="21" t="s">
        <v>205</v>
      </c>
      <c r="C61" s="22" t="s">
        <v>206</v>
      </c>
      <c r="D61" s="23" t="s">
        <v>203</v>
      </c>
      <c r="E61" s="23" t="s">
        <v>203</v>
      </c>
      <c r="F61" s="23" t="s">
        <v>61</v>
      </c>
      <c r="G61" s="19" t="s">
        <v>41</v>
      </c>
      <c r="H61" s="22"/>
      <c r="I61" s="20"/>
    </row>
    <row r="62" customFormat="false" ht="18" hidden="false" customHeight="true" outlineLevel="0" collapsed="false"/>
    <row r="63" customFormat="false" ht="18" hidden="false" customHeight="true" outlineLevel="0" collapsed="false">
      <c r="B63" s="24" t="s">
        <v>207</v>
      </c>
      <c r="C63" s="24"/>
      <c r="D63" s="24"/>
      <c r="E63" s="24"/>
      <c r="F63" s="24"/>
      <c r="G63" s="24"/>
      <c r="H63" s="24"/>
    </row>
    <row r="64" customFormat="false" ht="18" hidden="false" customHeight="true" outlineLevel="0" collapsed="false">
      <c r="B64" s="25" t="s">
        <v>208</v>
      </c>
    </row>
    <row r="65" customFormat="false" ht="18" hidden="false" customHeight="true" outlineLevel="0" collapsed="false">
      <c r="B65" s="26" t="s">
        <v>209</v>
      </c>
    </row>
    <row r="66" customFormat="false" ht="18" hidden="false" customHeight="true" outlineLevel="0" collapsed="false">
      <c r="B66" s="27" t="s">
        <v>210</v>
      </c>
    </row>
    <row r="67" customFormat="false" ht="18" hidden="false" customHeight="true" outlineLevel="0" collapsed="false">
      <c r="B67" s="28" t="s">
        <v>211</v>
      </c>
    </row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</sheetData>
  <mergeCells count="8">
    <mergeCell ref="B2:H2"/>
    <mergeCell ref="B3:H3"/>
    <mergeCell ref="B6:H6"/>
    <mergeCell ref="B14:H14"/>
    <mergeCell ref="B25:H25"/>
    <mergeCell ref="B41:H41"/>
    <mergeCell ref="B54:H54"/>
    <mergeCell ref="B63:H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N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39" min="4" style="1" width="3.2"/>
  </cols>
  <sheetData>
    <row r="2" customFormat="false" ht="17.25" hidden="false" customHeight="true" outlineLevel="0" collapsed="false">
      <c r="A2" s="2"/>
      <c r="B2" s="29" t="s">
        <v>212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"/>
      <c r="AL2" s="2"/>
      <c r="AM2" s="2"/>
      <c r="AN2" s="2"/>
    </row>
    <row r="3" customFormat="false" ht="15.75" hidden="false" customHeight="true" outlineLevel="0" collapsed="false">
      <c r="D3" s="30" t="s">
        <v>213</v>
      </c>
      <c r="E3" s="30"/>
      <c r="F3" s="30"/>
      <c r="G3" s="30" t="s">
        <v>214</v>
      </c>
      <c r="H3" s="30"/>
      <c r="I3" s="30"/>
      <c r="J3" s="30" t="s">
        <v>215</v>
      </c>
      <c r="K3" s="30"/>
      <c r="L3" s="30"/>
      <c r="M3" s="30" t="s">
        <v>216</v>
      </c>
      <c r="N3" s="30"/>
      <c r="O3" s="30"/>
      <c r="P3" s="30" t="s">
        <v>217</v>
      </c>
      <c r="Q3" s="30"/>
      <c r="R3" s="30"/>
      <c r="S3" s="30" t="s">
        <v>218</v>
      </c>
      <c r="T3" s="30"/>
      <c r="U3" s="30"/>
      <c r="V3" s="30" t="s">
        <v>219</v>
      </c>
      <c r="W3" s="30"/>
      <c r="X3" s="30"/>
      <c r="Y3" s="30" t="s">
        <v>220</v>
      </c>
      <c r="Z3" s="30"/>
      <c r="AA3" s="30"/>
      <c r="AB3" s="30" t="s">
        <v>221</v>
      </c>
      <c r="AC3" s="30"/>
      <c r="AD3" s="30"/>
      <c r="AE3" s="30" t="s">
        <v>222</v>
      </c>
      <c r="AF3" s="30"/>
      <c r="AG3" s="30"/>
      <c r="AH3" s="30" t="s">
        <v>223</v>
      </c>
      <c r="AI3" s="30"/>
      <c r="AJ3" s="30"/>
      <c r="AK3" s="30" t="s">
        <v>224</v>
      </c>
      <c r="AL3" s="30"/>
      <c r="AM3" s="30"/>
    </row>
    <row r="4" customFormat="false" ht="15.75" hidden="false" customHeight="true" outlineLevel="0" collapsed="false">
      <c r="B4" s="31" t="s">
        <v>2</v>
      </c>
      <c r="C4" s="32" t="s">
        <v>225</v>
      </c>
      <c r="D4" s="33" t="n">
        <v>1</v>
      </c>
      <c r="E4" s="33" t="n">
        <v>2</v>
      </c>
      <c r="F4" s="33" t="n">
        <v>3</v>
      </c>
      <c r="G4" s="33" t="n">
        <v>4</v>
      </c>
      <c r="H4" s="33" t="n">
        <v>5</v>
      </c>
      <c r="I4" s="33" t="n">
        <v>6</v>
      </c>
      <c r="J4" s="33" t="n">
        <v>7</v>
      </c>
      <c r="K4" s="33" t="n">
        <v>8</v>
      </c>
      <c r="L4" s="33" t="n">
        <v>9</v>
      </c>
      <c r="M4" s="33" t="n">
        <v>10</v>
      </c>
      <c r="N4" s="33" t="n">
        <v>11</v>
      </c>
      <c r="O4" s="33" t="n">
        <v>12</v>
      </c>
      <c r="P4" s="33" t="n">
        <v>13</v>
      </c>
      <c r="Q4" s="33" t="n">
        <v>14</v>
      </c>
      <c r="R4" s="33" t="n">
        <v>15</v>
      </c>
      <c r="S4" s="33" t="n">
        <v>16</v>
      </c>
      <c r="T4" s="33" t="n">
        <v>17</v>
      </c>
      <c r="U4" s="33" t="n">
        <v>18</v>
      </c>
      <c r="V4" s="33" t="n">
        <v>19</v>
      </c>
      <c r="W4" s="33" t="n">
        <v>20</v>
      </c>
      <c r="X4" s="33" t="n">
        <v>21</v>
      </c>
      <c r="Y4" s="33" t="n">
        <v>22</v>
      </c>
      <c r="Z4" s="33" t="n">
        <v>23</v>
      </c>
      <c r="AA4" s="33" t="n">
        <v>24</v>
      </c>
      <c r="AB4" s="33" t="n">
        <v>25</v>
      </c>
      <c r="AC4" s="33" t="n">
        <v>26</v>
      </c>
      <c r="AD4" s="33" t="n">
        <v>27</v>
      </c>
      <c r="AE4" s="33" t="n">
        <v>28</v>
      </c>
      <c r="AF4" s="33" t="n">
        <v>29</v>
      </c>
      <c r="AG4" s="33" t="n">
        <v>30</v>
      </c>
      <c r="AH4" s="33" t="n">
        <v>31</v>
      </c>
      <c r="AI4" s="33" t="n">
        <v>32</v>
      </c>
      <c r="AJ4" s="33" t="n">
        <v>33</v>
      </c>
      <c r="AK4" s="33" t="n">
        <v>34</v>
      </c>
      <c r="AL4" s="33" t="n">
        <v>35</v>
      </c>
      <c r="AM4" s="33" t="n">
        <v>36</v>
      </c>
    </row>
    <row r="5" customFormat="false" ht="16.5" hidden="false" customHeight="true" outlineLevel="0" collapsed="false">
      <c r="B5" s="34" t="s">
        <v>9</v>
      </c>
      <c r="C5" s="35"/>
      <c r="D5" s="36"/>
      <c r="E5" s="36"/>
      <c r="F5" s="36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</row>
    <row r="6" customFormat="false" ht="16.5" hidden="false" customHeight="true" outlineLevel="0" collapsed="false">
      <c r="B6" s="38" t="s">
        <v>226</v>
      </c>
      <c r="C6" s="39" t="s">
        <v>227</v>
      </c>
      <c r="D6" s="40"/>
      <c r="E6" s="40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</row>
    <row r="7" customFormat="false" ht="16.5" hidden="false" customHeight="true" outlineLevel="0" collapsed="false">
      <c r="B7" s="42" t="s">
        <v>228</v>
      </c>
      <c r="C7" s="43" t="s">
        <v>227</v>
      </c>
      <c r="D7" s="40"/>
      <c r="E7" s="40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</row>
    <row r="8" customFormat="false" ht="16.5" hidden="false" customHeight="true" outlineLevel="0" collapsed="false">
      <c r="B8" s="38" t="s">
        <v>229</v>
      </c>
      <c r="C8" s="39" t="s">
        <v>227</v>
      </c>
      <c r="D8" s="41"/>
      <c r="E8" s="40"/>
      <c r="F8" s="40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</row>
    <row r="9" customFormat="false" ht="16.5" hidden="false" customHeight="true" outlineLevel="0" collapsed="false">
      <c r="B9" s="42" t="s">
        <v>230</v>
      </c>
      <c r="C9" s="43" t="s">
        <v>227</v>
      </c>
      <c r="D9" s="40"/>
      <c r="E9" s="40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</row>
    <row r="10" customFormat="false" ht="16.5" hidden="false" customHeight="true" outlineLevel="0" collapsed="false">
      <c r="B10" s="38" t="s">
        <v>231</v>
      </c>
      <c r="C10" s="39" t="s">
        <v>227</v>
      </c>
      <c r="D10" s="40"/>
      <c r="E10" s="40"/>
      <c r="F10" s="40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</row>
    <row r="11" customFormat="false" ht="16.5" hidden="false" customHeight="true" outlineLevel="0" collapsed="false">
      <c r="B11" s="42" t="s">
        <v>232</v>
      </c>
      <c r="C11" s="43" t="s">
        <v>227</v>
      </c>
      <c r="D11" s="40"/>
      <c r="E11" s="40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</row>
    <row r="12" customFormat="false" ht="16.5" hidden="false" customHeight="true" outlineLevel="0" collapsed="false">
      <c r="B12" s="38" t="s">
        <v>233</v>
      </c>
      <c r="C12" s="39" t="s">
        <v>227</v>
      </c>
      <c r="D12" s="41"/>
      <c r="E12" s="40"/>
      <c r="F12" s="40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</row>
    <row r="13" customFormat="false" ht="16.5" hidden="false" customHeight="true" outlineLevel="0" collapsed="false">
      <c r="B13" s="44" t="s">
        <v>37</v>
      </c>
      <c r="C13" s="45"/>
      <c r="D13" s="37"/>
      <c r="E13" s="37"/>
      <c r="F13" s="46"/>
      <c r="G13" s="46"/>
      <c r="H13" s="46"/>
      <c r="I13" s="46"/>
      <c r="J13" s="46"/>
      <c r="K13" s="46"/>
      <c r="L13" s="46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</row>
    <row r="14" customFormat="false" ht="16.5" hidden="false" customHeight="true" outlineLevel="0" collapsed="false">
      <c r="B14" s="38" t="s">
        <v>234</v>
      </c>
      <c r="C14" s="39" t="s">
        <v>227</v>
      </c>
      <c r="D14" s="41"/>
      <c r="E14" s="41"/>
      <c r="F14" s="47"/>
      <c r="G14" s="47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</row>
    <row r="15" customFormat="false" ht="16.5" hidden="false" customHeight="true" outlineLevel="0" collapsed="false">
      <c r="B15" s="42" t="s">
        <v>235</v>
      </c>
      <c r="C15" s="43" t="s">
        <v>227</v>
      </c>
      <c r="D15" s="37"/>
      <c r="E15" s="37"/>
      <c r="F15" s="37"/>
      <c r="G15" s="47"/>
      <c r="H15" s="4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</row>
    <row r="16" customFormat="false" ht="16.5" hidden="false" customHeight="true" outlineLevel="0" collapsed="false">
      <c r="B16" s="38" t="s">
        <v>236</v>
      </c>
      <c r="C16" s="39" t="s">
        <v>227</v>
      </c>
      <c r="D16" s="41"/>
      <c r="E16" s="41"/>
      <c r="F16" s="41"/>
      <c r="G16" s="41"/>
      <c r="H16" s="47"/>
      <c r="I16" s="47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</row>
    <row r="17" customFormat="false" ht="16.5" hidden="false" customHeight="true" outlineLevel="0" collapsed="false">
      <c r="B17" s="42" t="s">
        <v>237</v>
      </c>
      <c r="C17" s="43" t="s">
        <v>227</v>
      </c>
      <c r="D17" s="37"/>
      <c r="E17" s="37"/>
      <c r="F17" s="37"/>
      <c r="G17" s="37"/>
      <c r="H17" s="37"/>
      <c r="I17" s="47"/>
      <c r="J17" s="4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</row>
    <row r="18" customFormat="false" ht="16.5" hidden="false" customHeight="true" outlineLevel="0" collapsed="false">
      <c r="B18" s="38" t="s">
        <v>238</v>
      </c>
      <c r="C18" s="39" t="s">
        <v>227</v>
      </c>
      <c r="D18" s="41"/>
      <c r="E18" s="41"/>
      <c r="F18" s="41"/>
      <c r="G18" s="41"/>
      <c r="H18" s="41"/>
      <c r="I18" s="41"/>
      <c r="J18" s="47"/>
      <c r="K18" s="47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</row>
    <row r="19" customFormat="false" ht="16.5" hidden="false" customHeight="true" outlineLevel="0" collapsed="false">
      <c r="B19" s="42" t="s">
        <v>239</v>
      </c>
      <c r="C19" s="43" t="s">
        <v>227</v>
      </c>
      <c r="D19" s="37"/>
      <c r="E19" s="37"/>
      <c r="F19" s="37"/>
      <c r="G19" s="37"/>
      <c r="H19" s="37"/>
      <c r="I19" s="37"/>
      <c r="J19" s="37"/>
      <c r="K19" s="4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</row>
    <row r="20" customFormat="false" ht="16.5" hidden="false" customHeight="true" outlineLevel="0" collapsed="false">
      <c r="B20" s="38" t="s">
        <v>240</v>
      </c>
      <c r="C20" s="39" t="s">
        <v>227</v>
      </c>
      <c r="D20" s="41"/>
      <c r="E20" s="41"/>
      <c r="F20" s="41"/>
      <c r="G20" s="41"/>
      <c r="H20" s="41"/>
      <c r="I20" s="41"/>
      <c r="J20" s="41"/>
      <c r="K20" s="47"/>
      <c r="L20" s="47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</row>
    <row r="21" customFormat="false" ht="16.5" hidden="false" customHeight="true" outlineLevel="0" collapsed="false">
      <c r="B21" s="42" t="s">
        <v>241</v>
      </c>
      <c r="C21" s="43" t="s">
        <v>242</v>
      </c>
      <c r="D21" s="37"/>
      <c r="E21" s="37"/>
      <c r="F21" s="37"/>
      <c r="G21" s="37"/>
      <c r="H21" s="37"/>
      <c r="I21" s="37"/>
      <c r="J21" s="37"/>
      <c r="K21" s="48"/>
      <c r="L21" s="48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</row>
    <row r="22" customFormat="false" ht="16.5" hidden="false" customHeight="true" outlineLevel="0" collapsed="false">
      <c r="B22" s="38" t="s">
        <v>243</v>
      </c>
      <c r="C22" s="39" t="s">
        <v>242</v>
      </c>
      <c r="D22" s="41"/>
      <c r="E22" s="41"/>
      <c r="F22" s="41"/>
      <c r="G22" s="41"/>
      <c r="H22" s="41"/>
      <c r="I22" s="41"/>
      <c r="J22" s="41"/>
      <c r="K22" s="41"/>
      <c r="L22" s="48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</row>
    <row r="23" customFormat="false" ht="16.5" hidden="false" customHeight="true" outlineLevel="0" collapsed="false">
      <c r="B23" s="42" t="s">
        <v>244</v>
      </c>
      <c r="C23" s="43" t="s">
        <v>245</v>
      </c>
      <c r="D23" s="37"/>
      <c r="E23" s="37"/>
      <c r="F23" s="37"/>
      <c r="G23" s="37"/>
      <c r="H23" s="37"/>
      <c r="I23" s="37"/>
      <c r="J23" s="37"/>
      <c r="K23" s="37"/>
      <c r="L23" s="49" t="s">
        <v>246</v>
      </c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</row>
    <row r="24" customFormat="false" ht="16.5" hidden="false" customHeight="true" outlineLevel="0" collapsed="false">
      <c r="B24" s="50" t="s">
        <v>76</v>
      </c>
      <c r="C24" s="51"/>
      <c r="D24" s="41"/>
      <c r="E24" s="41"/>
      <c r="F24" s="41"/>
      <c r="G24" s="41"/>
      <c r="H24" s="41"/>
      <c r="I24" s="41"/>
      <c r="J24" s="41"/>
      <c r="K24" s="41"/>
      <c r="L24" s="41"/>
      <c r="M24" s="48"/>
      <c r="N24" s="48"/>
      <c r="O24" s="48"/>
      <c r="P24" s="48"/>
      <c r="Q24" s="48"/>
      <c r="R24" s="48"/>
      <c r="S24" s="48"/>
      <c r="T24" s="48"/>
      <c r="U24" s="48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</row>
    <row r="25" customFormat="false" ht="16.5" hidden="false" customHeight="true" outlineLevel="0" collapsed="false">
      <c r="B25" s="42" t="s">
        <v>247</v>
      </c>
      <c r="C25" s="43" t="s">
        <v>227</v>
      </c>
      <c r="D25" s="37"/>
      <c r="E25" s="37"/>
      <c r="F25" s="37"/>
      <c r="G25" s="37"/>
      <c r="H25" s="37"/>
      <c r="I25" s="37"/>
      <c r="J25" s="37"/>
      <c r="K25" s="37"/>
      <c r="L25" s="37"/>
      <c r="M25" s="52"/>
      <c r="N25" s="52"/>
      <c r="O25" s="52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</row>
    <row r="26" customFormat="false" ht="16.5" hidden="false" customHeight="true" outlineLevel="0" collapsed="false">
      <c r="B26" s="38" t="s">
        <v>248</v>
      </c>
      <c r="C26" s="39" t="s">
        <v>227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52"/>
      <c r="P26" s="52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</row>
    <row r="27" customFormat="false" ht="16.5" hidden="false" customHeight="true" outlineLevel="0" collapsed="false">
      <c r="B27" s="42" t="s">
        <v>249</v>
      </c>
      <c r="C27" s="43" t="s">
        <v>227</v>
      </c>
      <c r="D27" s="37"/>
      <c r="E27" s="37"/>
      <c r="F27" s="37"/>
      <c r="G27" s="37"/>
      <c r="H27" s="37"/>
      <c r="I27" s="37"/>
      <c r="J27" s="37"/>
      <c r="K27" s="37"/>
      <c r="L27" s="37"/>
      <c r="M27" s="52"/>
      <c r="N27" s="52"/>
      <c r="O27" s="52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</row>
    <row r="28" customFormat="false" ht="16.5" hidden="false" customHeight="true" outlineLevel="0" collapsed="false">
      <c r="B28" s="38" t="s">
        <v>250</v>
      </c>
      <c r="C28" s="39" t="s">
        <v>227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52"/>
      <c r="Q28" s="52"/>
      <c r="R28" s="52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</row>
    <row r="29" customFormat="false" ht="16.5" hidden="false" customHeight="true" outlineLevel="0" collapsed="false">
      <c r="B29" s="42" t="s">
        <v>251</v>
      </c>
      <c r="C29" s="43" t="s">
        <v>227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52"/>
      <c r="O29" s="52"/>
      <c r="P29" s="52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</row>
    <row r="30" customFormat="false" ht="16.5" hidden="false" customHeight="true" outlineLevel="0" collapsed="false">
      <c r="B30" s="38" t="s">
        <v>252</v>
      </c>
      <c r="C30" s="39" t="s">
        <v>227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52"/>
      <c r="O30" s="52"/>
      <c r="P30" s="52"/>
      <c r="Q30" s="52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</row>
    <row r="31" customFormat="false" ht="16.5" hidden="false" customHeight="true" outlineLevel="0" collapsed="false">
      <c r="B31" s="42" t="s">
        <v>253</v>
      </c>
      <c r="C31" s="43" t="s">
        <v>227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52"/>
      <c r="R31" s="52"/>
      <c r="S31" s="52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</row>
    <row r="32" customFormat="false" ht="16.5" hidden="false" customHeight="true" outlineLevel="0" collapsed="false">
      <c r="B32" s="38" t="s">
        <v>254</v>
      </c>
      <c r="C32" s="39" t="s">
        <v>227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52"/>
      <c r="S32" s="52"/>
      <c r="T32" s="52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</row>
    <row r="33" customFormat="false" ht="16.5" hidden="false" customHeight="true" outlineLevel="0" collapsed="false">
      <c r="B33" s="42" t="s">
        <v>255</v>
      </c>
      <c r="C33" s="43" t="s">
        <v>227</v>
      </c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52"/>
      <c r="P33" s="52"/>
      <c r="Q33" s="52"/>
      <c r="R33" s="5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</row>
    <row r="34" customFormat="false" ht="16.5" hidden="false" customHeight="true" outlineLevel="0" collapsed="false">
      <c r="B34" s="38" t="s">
        <v>256</v>
      </c>
      <c r="C34" s="39" t="s">
        <v>227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52"/>
      <c r="S34" s="52"/>
      <c r="T34" s="52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</row>
    <row r="35" customFormat="false" ht="16.5" hidden="false" customHeight="true" outlineLevel="0" collapsed="false">
      <c r="B35" s="42" t="s">
        <v>257</v>
      </c>
      <c r="C35" s="43" t="s">
        <v>227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52"/>
      <c r="Q35" s="52"/>
      <c r="R35" s="52"/>
      <c r="S35" s="52"/>
      <c r="T35" s="52"/>
      <c r="U35" s="52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</row>
    <row r="36" customFormat="false" ht="16.5" hidden="false" customHeight="true" outlineLevel="0" collapsed="false">
      <c r="B36" s="38" t="s">
        <v>258</v>
      </c>
      <c r="C36" s="39" t="s">
        <v>227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52"/>
      <c r="R36" s="52"/>
      <c r="S36" s="52"/>
      <c r="T36" s="52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</row>
    <row r="37" customFormat="false" ht="16.5" hidden="false" customHeight="true" outlineLevel="0" collapsed="false">
      <c r="B37" s="42" t="s">
        <v>259</v>
      </c>
      <c r="C37" s="43" t="s">
        <v>227</v>
      </c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52"/>
      <c r="T37" s="52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customFormat="false" ht="16.5" hidden="false" customHeight="true" outlineLevel="0" collapsed="false">
      <c r="B38" s="38" t="s">
        <v>260</v>
      </c>
      <c r="C38" s="39" t="s">
        <v>242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8"/>
      <c r="U38" s="48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</row>
    <row r="39" customFormat="false" ht="16.5" hidden="false" customHeight="true" outlineLevel="0" collapsed="false">
      <c r="B39" s="42" t="s">
        <v>261</v>
      </c>
      <c r="C39" s="43" t="s">
        <v>245</v>
      </c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49" t="s">
        <v>246</v>
      </c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</row>
    <row r="40" customFormat="false" ht="16.5" hidden="false" customHeight="true" outlineLevel="0" collapsed="false">
      <c r="B40" s="53" t="s">
        <v>133</v>
      </c>
      <c r="C40" s="54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55"/>
      <c r="W40" s="55"/>
      <c r="X40" s="55"/>
      <c r="Y40" s="55"/>
      <c r="Z40" s="55"/>
      <c r="AA40" s="55"/>
      <c r="AB40" s="55"/>
      <c r="AC40" s="55"/>
      <c r="AD40" s="55"/>
      <c r="AE40" s="41"/>
      <c r="AF40" s="41"/>
      <c r="AG40" s="41"/>
      <c r="AH40" s="41"/>
      <c r="AI40" s="41"/>
      <c r="AJ40" s="41"/>
      <c r="AK40" s="41"/>
      <c r="AL40" s="41"/>
      <c r="AM40" s="41"/>
    </row>
    <row r="41" customFormat="false" ht="16.5" hidden="false" customHeight="true" outlineLevel="0" collapsed="false">
      <c r="B41" s="42" t="s">
        <v>262</v>
      </c>
      <c r="C41" s="43" t="s">
        <v>227</v>
      </c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56"/>
      <c r="W41" s="56"/>
      <c r="X41" s="56"/>
      <c r="Y41" s="56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</row>
    <row r="42" customFormat="false" ht="16.5" hidden="false" customHeight="true" outlineLevel="0" collapsed="false">
      <c r="B42" s="38" t="s">
        <v>263</v>
      </c>
      <c r="C42" s="39" t="s">
        <v>227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56"/>
      <c r="W42" s="56"/>
      <c r="X42" s="56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</row>
    <row r="43" customFormat="false" ht="16.5" hidden="false" customHeight="true" outlineLevel="0" collapsed="false">
      <c r="B43" s="42" t="s">
        <v>264</v>
      </c>
      <c r="C43" s="43" t="s">
        <v>227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56"/>
      <c r="Y43" s="56"/>
      <c r="Z43" s="56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</row>
    <row r="44" customFormat="false" ht="16.5" hidden="false" customHeight="true" outlineLevel="0" collapsed="false">
      <c r="B44" s="38" t="s">
        <v>265</v>
      </c>
      <c r="C44" s="39" t="s">
        <v>227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56"/>
      <c r="Z44" s="56"/>
      <c r="AA44" s="56"/>
      <c r="AB44" s="56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</row>
    <row r="45" customFormat="false" ht="16.5" hidden="false" customHeight="true" outlineLevel="0" collapsed="false">
      <c r="B45" s="42" t="s">
        <v>266</v>
      </c>
      <c r="C45" s="43" t="s">
        <v>227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56"/>
      <c r="X45" s="56"/>
      <c r="Y45" s="56"/>
      <c r="Z45" s="56"/>
      <c r="AA45" s="56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</row>
    <row r="46" customFormat="false" ht="16.5" hidden="false" customHeight="true" outlineLevel="0" collapsed="false">
      <c r="B46" s="38" t="s">
        <v>267</v>
      </c>
      <c r="C46" s="39" t="s">
        <v>227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56"/>
      <c r="Z46" s="56"/>
      <c r="AA46" s="56"/>
      <c r="AB46" s="56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</row>
    <row r="47" customFormat="false" ht="16.5" hidden="false" customHeight="true" outlineLevel="0" collapsed="false">
      <c r="B47" s="42" t="s">
        <v>268</v>
      </c>
      <c r="C47" s="43" t="s">
        <v>227</v>
      </c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56"/>
      <c r="Y47" s="56"/>
      <c r="Z47" s="56"/>
      <c r="AA47" s="56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</row>
    <row r="48" customFormat="false" ht="16.5" hidden="false" customHeight="true" outlineLevel="0" collapsed="false">
      <c r="B48" s="38" t="s">
        <v>269</v>
      </c>
      <c r="C48" s="39" t="s">
        <v>227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56"/>
      <c r="X48" s="56"/>
      <c r="Y48" s="56"/>
      <c r="Z48" s="56"/>
      <c r="AA48" s="56"/>
      <c r="AB48" s="56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</row>
    <row r="49" customFormat="false" ht="16.5" hidden="false" customHeight="true" outlineLevel="0" collapsed="false">
      <c r="B49" s="42" t="s">
        <v>270</v>
      </c>
      <c r="C49" s="43" t="s">
        <v>227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56"/>
      <c r="AA49" s="56"/>
      <c r="AB49" s="56"/>
      <c r="AC49" s="56"/>
      <c r="AD49" s="37"/>
      <c r="AE49" s="37"/>
      <c r="AF49" s="37"/>
      <c r="AG49" s="37"/>
      <c r="AH49" s="37"/>
      <c r="AI49" s="37"/>
      <c r="AJ49" s="37"/>
      <c r="AK49" s="37"/>
      <c r="AL49" s="37"/>
      <c r="AM49" s="37"/>
    </row>
    <row r="50" customFormat="false" ht="16.5" hidden="false" customHeight="true" outlineLevel="0" collapsed="false">
      <c r="B50" s="38" t="s">
        <v>271</v>
      </c>
      <c r="C50" s="39" t="s">
        <v>227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56"/>
      <c r="AB50" s="56"/>
      <c r="AC50" s="56"/>
      <c r="AD50" s="41"/>
      <c r="AE50" s="41"/>
      <c r="AF50" s="41"/>
      <c r="AG50" s="41"/>
      <c r="AH50" s="41"/>
      <c r="AI50" s="41"/>
      <c r="AJ50" s="41"/>
      <c r="AK50" s="41"/>
      <c r="AL50" s="41"/>
      <c r="AM50" s="41"/>
    </row>
    <row r="51" customFormat="false" ht="16.5" hidden="false" customHeight="true" outlineLevel="0" collapsed="false">
      <c r="B51" s="42" t="s">
        <v>272</v>
      </c>
      <c r="C51" s="43" t="s">
        <v>242</v>
      </c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48"/>
      <c r="AC51" s="48"/>
      <c r="AD51" s="48"/>
      <c r="AE51" s="37"/>
      <c r="AF51" s="37"/>
      <c r="AG51" s="37"/>
      <c r="AH51" s="37"/>
      <c r="AI51" s="37"/>
      <c r="AJ51" s="37"/>
      <c r="AK51" s="37"/>
      <c r="AL51" s="37"/>
      <c r="AM51" s="37"/>
    </row>
    <row r="52" customFormat="false" ht="16.5" hidden="false" customHeight="true" outlineLevel="0" collapsed="false">
      <c r="B52" s="38" t="s">
        <v>273</v>
      </c>
      <c r="C52" s="39" t="s">
        <v>245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9" t="s">
        <v>246</v>
      </c>
      <c r="AE52" s="41"/>
      <c r="AF52" s="41"/>
      <c r="AG52" s="41"/>
      <c r="AH52" s="41"/>
      <c r="AI52" s="41"/>
      <c r="AJ52" s="41"/>
      <c r="AK52" s="41"/>
      <c r="AL52" s="41"/>
      <c r="AM52" s="41"/>
    </row>
    <row r="53" customFormat="false" ht="16.5" hidden="false" customHeight="true" outlineLevel="0" collapsed="false">
      <c r="B53" s="57" t="s">
        <v>179</v>
      </c>
      <c r="C53" s="58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59"/>
      <c r="AF53" s="59"/>
      <c r="AG53" s="59"/>
      <c r="AH53" s="59"/>
      <c r="AI53" s="59"/>
      <c r="AJ53" s="59"/>
      <c r="AK53" s="59"/>
      <c r="AL53" s="59"/>
      <c r="AM53" s="59"/>
    </row>
    <row r="54" customFormat="false" ht="16.5" hidden="false" customHeight="true" outlineLevel="0" collapsed="false">
      <c r="B54" s="38" t="s">
        <v>274</v>
      </c>
      <c r="C54" s="39" t="s">
        <v>227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60"/>
      <c r="AF54" s="60"/>
      <c r="AG54" s="60"/>
      <c r="AH54" s="41"/>
      <c r="AI54" s="41"/>
      <c r="AJ54" s="41"/>
      <c r="AK54" s="41"/>
      <c r="AL54" s="41"/>
      <c r="AM54" s="41"/>
    </row>
    <row r="55" customFormat="false" ht="16.5" hidden="false" customHeight="true" outlineLevel="0" collapsed="false">
      <c r="B55" s="42" t="s">
        <v>275</v>
      </c>
      <c r="C55" s="43" t="s">
        <v>227</v>
      </c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60"/>
      <c r="AF55" s="60"/>
      <c r="AG55" s="60"/>
      <c r="AH55" s="60"/>
      <c r="AI55" s="60"/>
      <c r="AJ55" s="37"/>
      <c r="AK55" s="37"/>
      <c r="AL55" s="37"/>
      <c r="AM55" s="37"/>
    </row>
    <row r="56" customFormat="false" ht="16.5" hidden="false" customHeight="true" outlineLevel="0" collapsed="false">
      <c r="B56" s="38" t="s">
        <v>276</v>
      </c>
      <c r="C56" s="39" t="s">
        <v>227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60"/>
      <c r="AG56" s="60"/>
      <c r="AH56" s="60"/>
      <c r="AI56" s="60"/>
      <c r="AJ56" s="60"/>
      <c r="AK56" s="41"/>
      <c r="AL56" s="41"/>
      <c r="AM56" s="41"/>
    </row>
    <row r="57" customFormat="false" ht="16.5" hidden="false" customHeight="true" outlineLevel="0" collapsed="false">
      <c r="B57" s="42" t="s">
        <v>277</v>
      </c>
      <c r="C57" s="43" t="s">
        <v>227</v>
      </c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60"/>
      <c r="AH57" s="60"/>
      <c r="AI57" s="60"/>
      <c r="AJ57" s="60"/>
      <c r="AK57" s="37"/>
      <c r="AL57" s="37"/>
      <c r="AM57" s="37"/>
    </row>
    <row r="58" customFormat="false" ht="16.5" hidden="false" customHeight="true" outlineLevel="0" collapsed="false">
      <c r="B58" s="38" t="s">
        <v>278</v>
      </c>
      <c r="C58" s="39" t="s">
        <v>227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60"/>
      <c r="AH58" s="60"/>
      <c r="AI58" s="60"/>
      <c r="AJ58" s="60"/>
      <c r="AK58" s="60"/>
      <c r="AL58" s="41"/>
      <c r="AM58" s="41"/>
    </row>
    <row r="59" customFormat="false" ht="16.5" hidden="false" customHeight="true" outlineLevel="0" collapsed="false">
      <c r="B59" s="42" t="s">
        <v>279</v>
      </c>
      <c r="C59" s="43" t="s">
        <v>227</v>
      </c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60"/>
      <c r="AJ59" s="60"/>
      <c r="AK59" s="60"/>
      <c r="AL59" s="60"/>
      <c r="AM59" s="60"/>
    </row>
    <row r="60" customFormat="false" ht="16.5" hidden="false" customHeight="true" outlineLevel="0" collapsed="false">
      <c r="B60" s="38" t="s">
        <v>280</v>
      </c>
      <c r="C60" s="39" t="s">
        <v>245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9" t="s">
        <v>246</v>
      </c>
    </row>
    <row r="62" customFormat="false" ht="15" hidden="false" customHeight="true" outlineLevel="0" collapsed="false">
      <c r="B62" s="61" t="s">
        <v>281</v>
      </c>
      <c r="C62" s="61"/>
      <c r="D62" s="61"/>
      <c r="E62" s="61"/>
    </row>
    <row r="63" customFormat="false" ht="95.25" hidden="false" customHeight="true" outlineLevel="0" collapsed="false">
      <c r="B63" s="62" t="s">
        <v>282</v>
      </c>
      <c r="D63" s="63" t="s">
        <v>283</v>
      </c>
      <c r="F63" s="64" t="s">
        <v>284</v>
      </c>
      <c r="H63" s="65" t="s">
        <v>285</v>
      </c>
      <c r="J63" s="66" t="s">
        <v>286</v>
      </c>
      <c r="L63" s="67" t="s">
        <v>287</v>
      </c>
      <c r="N63" s="68" t="s">
        <v>288</v>
      </c>
      <c r="P63" s="69" t="s">
        <v>289</v>
      </c>
    </row>
  </sheetData>
  <mergeCells count="14">
    <mergeCell ref="B2:AJ2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B62:E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11" min="4" style="1" width="9"/>
    <col collapsed="false" customWidth="true" hidden="false" outlineLevel="0" max="12" min="12" style="1" width="2"/>
  </cols>
  <sheetData>
    <row r="1" customFormat="false" ht="18" hidden="false" customHeight="true" outlineLevel="0" collapsed="false"/>
    <row r="2" customFormat="false" ht="37.5" hidden="false" customHeight="true" outlineLevel="0" collapsed="false">
      <c r="A2" s="70"/>
      <c r="B2" s="71" t="s">
        <v>290</v>
      </c>
      <c r="C2" s="71"/>
      <c r="D2" s="71"/>
      <c r="E2" s="71"/>
      <c r="F2" s="71"/>
      <c r="G2" s="71"/>
      <c r="H2" s="71"/>
      <c r="I2" s="71"/>
      <c r="J2" s="71"/>
      <c r="K2" s="71"/>
      <c r="L2" s="70"/>
    </row>
    <row r="3" customFormat="false" ht="18" hidden="false" customHeight="true" outlineLevel="0" collapsed="false">
      <c r="B3" s="72" t="s">
        <v>291</v>
      </c>
      <c r="C3" s="72"/>
      <c r="D3" s="72"/>
      <c r="E3" s="72"/>
      <c r="F3" s="72"/>
      <c r="G3" s="72"/>
      <c r="H3" s="72"/>
      <c r="I3" s="72"/>
      <c r="J3" s="72"/>
      <c r="K3" s="72"/>
    </row>
    <row r="4" customFormat="false" ht="18" hidden="false" customHeight="true" outlineLevel="0" collapsed="false"/>
    <row r="5" customFormat="false" ht="21.75" hidden="false" customHeight="true" outlineLevel="0" collapsed="false">
      <c r="A5" s="73"/>
      <c r="B5" s="73" t="s">
        <v>292</v>
      </c>
      <c r="C5" s="73" t="s">
        <v>293</v>
      </c>
      <c r="D5" s="73" t="s">
        <v>294</v>
      </c>
      <c r="E5" s="73" t="s">
        <v>295</v>
      </c>
      <c r="F5" s="73" t="s">
        <v>296</v>
      </c>
      <c r="G5" s="73" t="s">
        <v>297</v>
      </c>
      <c r="H5" s="73" t="s">
        <v>298</v>
      </c>
      <c r="I5" s="73" t="s">
        <v>299</v>
      </c>
      <c r="J5" s="73" t="s">
        <v>300</v>
      </c>
      <c r="K5" s="73" t="s">
        <v>301</v>
      </c>
      <c r="L5" s="73"/>
    </row>
    <row r="6" customFormat="false" ht="21.75" hidden="false" customHeight="true" outlineLevel="0" collapsed="false">
      <c r="A6" s="74"/>
      <c r="B6" s="75" t="s">
        <v>302</v>
      </c>
      <c r="C6" s="75"/>
      <c r="D6" s="75"/>
      <c r="E6" s="75"/>
      <c r="F6" s="75"/>
      <c r="G6" s="75"/>
      <c r="H6" s="75"/>
      <c r="I6" s="75"/>
      <c r="J6" s="75"/>
      <c r="K6" s="75"/>
      <c r="L6" s="74"/>
    </row>
    <row r="7" customFormat="false" ht="18" hidden="false" customHeight="true" outlineLevel="0" collapsed="false">
      <c r="A7" s="8"/>
      <c r="B7" s="9" t="s">
        <v>303</v>
      </c>
      <c r="C7" s="76" t="s">
        <v>304</v>
      </c>
      <c r="D7" s="77" t="n">
        <v>1</v>
      </c>
      <c r="E7" s="77" t="n">
        <v>1</v>
      </c>
      <c r="F7" s="77" t="n">
        <v>1</v>
      </c>
      <c r="G7" s="77" t="n">
        <v>1</v>
      </c>
      <c r="H7" s="77" t="n">
        <v>1</v>
      </c>
      <c r="I7" s="11" t="n">
        <f aca="false">MAX(D7,E7)</f>
        <v>1</v>
      </c>
      <c r="J7" s="11" t="n">
        <f aca="false">F7</f>
        <v>1</v>
      </c>
      <c r="K7" s="11" t="n">
        <f aca="false">G7</f>
        <v>1</v>
      </c>
      <c r="L7" s="8"/>
    </row>
    <row r="8" customFormat="false" ht="18" hidden="false" customHeight="true" outlineLevel="0" collapsed="false">
      <c r="A8" s="13"/>
      <c r="B8" s="14" t="s">
        <v>305</v>
      </c>
      <c r="C8" s="78" t="s">
        <v>306</v>
      </c>
      <c r="D8" s="79" t="n">
        <v>2</v>
      </c>
      <c r="E8" s="79" t="n">
        <v>2</v>
      </c>
      <c r="F8" s="79" t="n">
        <v>4</v>
      </c>
      <c r="G8" s="79" t="n">
        <v>5</v>
      </c>
      <c r="H8" s="79" t="n">
        <v>6</v>
      </c>
      <c r="I8" s="16" t="n">
        <f aca="false">MAX(D8,E8)</f>
        <v>2</v>
      </c>
      <c r="J8" s="16" t="n">
        <f aca="false">F8</f>
        <v>4</v>
      </c>
      <c r="K8" s="16" t="n">
        <f aca="false">G8</f>
        <v>5</v>
      </c>
      <c r="L8" s="13"/>
    </row>
    <row r="9" customFormat="false" ht="18" hidden="false" customHeight="true" outlineLevel="0" collapsed="false">
      <c r="A9" s="8"/>
      <c r="B9" s="9" t="s">
        <v>307</v>
      </c>
      <c r="C9" s="76" t="s">
        <v>306</v>
      </c>
      <c r="D9" s="77" t="n">
        <v>1</v>
      </c>
      <c r="E9" s="77" t="n">
        <v>2</v>
      </c>
      <c r="F9" s="77" t="n">
        <v>3</v>
      </c>
      <c r="G9" s="77" t="n">
        <v>4</v>
      </c>
      <c r="H9" s="77" t="n">
        <v>5</v>
      </c>
      <c r="I9" s="11" t="n">
        <f aca="false">MAX(D9,E9)</f>
        <v>2</v>
      </c>
      <c r="J9" s="11" t="n">
        <f aca="false">F9</f>
        <v>3</v>
      </c>
      <c r="K9" s="11" t="n">
        <f aca="false">G9</f>
        <v>4</v>
      </c>
      <c r="L9" s="8"/>
    </row>
    <row r="10" customFormat="false" ht="18" hidden="false" customHeight="true" outlineLevel="0" collapsed="false">
      <c r="A10" s="13"/>
      <c r="B10" s="14" t="s">
        <v>308</v>
      </c>
      <c r="C10" s="78" t="s">
        <v>306</v>
      </c>
      <c r="D10" s="79" t="n">
        <v>1</v>
      </c>
      <c r="E10" s="79" t="n">
        <v>1</v>
      </c>
      <c r="F10" s="79" t="n">
        <v>2</v>
      </c>
      <c r="G10" s="79" t="n">
        <v>2</v>
      </c>
      <c r="H10" s="79" t="n">
        <v>3</v>
      </c>
      <c r="I10" s="16" t="n">
        <f aca="false">MAX(D10,E10)</f>
        <v>1</v>
      </c>
      <c r="J10" s="16" t="n">
        <f aca="false">F10</f>
        <v>2</v>
      </c>
      <c r="K10" s="16" t="n">
        <f aca="false">G10</f>
        <v>2</v>
      </c>
      <c r="L10" s="13"/>
    </row>
    <row r="11" customFormat="false" ht="18" hidden="false" customHeight="true" outlineLevel="0" collapsed="false">
      <c r="A11" s="8"/>
      <c r="B11" s="9" t="s">
        <v>309</v>
      </c>
      <c r="C11" s="76" t="s">
        <v>310</v>
      </c>
      <c r="D11" s="11" t="s">
        <v>311</v>
      </c>
      <c r="E11" s="77" t="n">
        <v>1</v>
      </c>
      <c r="F11" s="77" t="n">
        <v>1</v>
      </c>
      <c r="G11" s="77" t="n">
        <v>2</v>
      </c>
      <c r="H11" s="77" t="n">
        <v>2</v>
      </c>
      <c r="I11" s="11" t="n">
        <f aca="false">MAX(D11,E11)</f>
        <v>1</v>
      </c>
      <c r="J11" s="11" t="n">
        <f aca="false">F11</f>
        <v>1</v>
      </c>
      <c r="K11" s="11" t="n">
        <f aca="false">G11</f>
        <v>2</v>
      </c>
      <c r="L11" s="8"/>
    </row>
    <row r="12" customFormat="false" ht="18" hidden="false" customHeight="true" outlineLevel="0" collapsed="false">
      <c r="A12" s="13"/>
      <c r="B12" s="14" t="s">
        <v>312</v>
      </c>
      <c r="C12" s="78" t="s">
        <v>306</v>
      </c>
      <c r="D12" s="79" t="n">
        <v>1</v>
      </c>
      <c r="E12" s="79" t="n">
        <v>1</v>
      </c>
      <c r="F12" s="79" t="n">
        <v>2</v>
      </c>
      <c r="G12" s="79" t="n">
        <v>2</v>
      </c>
      <c r="H12" s="79" t="n">
        <v>3</v>
      </c>
      <c r="I12" s="16" t="n">
        <f aca="false">MAX(D12,E12)</f>
        <v>1</v>
      </c>
      <c r="J12" s="16" t="n">
        <f aca="false">F12</f>
        <v>2</v>
      </c>
      <c r="K12" s="16" t="n">
        <f aca="false">G12</f>
        <v>2</v>
      </c>
      <c r="L12" s="13"/>
    </row>
    <row r="13" customFormat="false" ht="18" hidden="false" customHeight="true" outlineLevel="0" collapsed="false">
      <c r="A13" s="8"/>
      <c r="B13" s="9" t="s">
        <v>313</v>
      </c>
      <c r="C13" s="76" t="s">
        <v>310</v>
      </c>
      <c r="D13" s="11" t="s">
        <v>311</v>
      </c>
      <c r="E13" s="77" t="n">
        <v>1</v>
      </c>
      <c r="F13" s="77" t="n">
        <v>2</v>
      </c>
      <c r="G13" s="77" t="n">
        <v>3</v>
      </c>
      <c r="H13" s="77" t="n">
        <v>4</v>
      </c>
      <c r="I13" s="11" t="n">
        <f aca="false">MAX(D13,E13)</f>
        <v>1</v>
      </c>
      <c r="J13" s="11" t="n">
        <f aca="false">F13</f>
        <v>2</v>
      </c>
      <c r="K13" s="11" t="n">
        <f aca="false">G13</f>
        <v>3</v>
      </c>
      <c r="L13" s="8"/>
    </row>
    <row r="14" customFormat="false" ht="18" hidden="false" customHeight="true" outlineLevel="0" collapsed="false">
      <c r="A14" s="13"/>
      <c r="B14" s="14" t="s">
        <v>314</v>
      </c>
      <c r="C14" s="78" t="s">
        <v>315</v>
      </c>
      <c r="D14" s="16" t="s">
        <v>311</v>
      </c>
      <c r="E14" s="16" t="s">
        <v>311</v>
      </c>
      <c r="F14" s="79" t="n">
        <v>1</v>
      </c>
      <c r="G14" s="79" t="n">
        <v>2</v>
      </c>
      <c r="H14" s="79" t="n">
        <v>2</v>
      </c>
      <c r="I14" s="16" t="n">
        <f aca="false">MAX(D14,E14)</f>
        <v>0</v>
      </c>
      <c r="J14" s="16" t="n">
        <f aca="false">F14</f>
        <v>1</v>
      </c>
      <c r="K14" s="16" t="n">
        <f aca="false">G14</f>
        <v>2</v>
      </c>
      <c r="L14" s="13"/>
    </row>
    <row r="15" customFormat="false" ht="18" hidden="false" customHeight="true" outlineLevel="0" collapsed="false">
      <c r="A15" s="8"/>
      <c r="B15" s="9" t="s">
        <v>316</v>
      </c>
      <c r="C15" s="76" t="s">
        <v>310</v>
      </c>
      <c r="D15" s="11" t="s">
        <v>311</v>
      </c>
      <c r="E15" s="77" t="n">
        <v>1</v>
      </c>
      <c r="F15" s="77" t="n">
        <v>1</v>
      </c>
      <c r="G15" s="77" t="n">
        <v>1</v>
      </c>
      <c r="H15" s="77" t="n">
        <v>2</v>
      </c>
      <c r="I15" s="11" t="n">
        <f aca="false">MAX(D15,E15)</f>
        <v>1</v>
      </c>
      <c r="J15" s="11" t="n">
        <f aca="false">F15</f>
        <v>1</v>
      </c>
      <c r="K15" s="11" t="n">
        <f aca="false">G15</f>
        <v>1</v>
      </c>
      <c r="L15" s="8"/>
    </row>
    <row r="16" customFormat="false" ht="18" hidden="false" customHeight="true" outlineLevel="0" collapsed="false">
      <c r="A16" s="13"/>
      <c r="B16" s="14" t="s">
        <v>317</v>
      </c>
      <c r="C16" s="78" t="s">
        <v>306</v>
      </c>
      <c r="D16" s="79" t="n">
        <v>1</v>
      </c>
      <c r="E16" s="79" t="n">
        <v>1</v>
      </c>
      <c r="F16" s="79" t="n">
        <v>2</v>
      </c>
      <c r="G16" s="79" t="n">
        <v>2</v>
      </c>
      <c r="H16" s="79" t="n">
        <v>3</v>
      </c>
      <c r="I16" s="16" t="n">
        <f aca="false">MAX(D16,E16)</f>
        <v>1</v>
      </c>
      <c r="J16" s="16" t="n">
        <f aca="false">F16</f>
        <v>2</v>
      </c>
      <c r="K16" s="16" t="n">
        <f aca="false">G16</f>
        <v>2</v>
      </c>
      <c r="L16" s="13"/>
    </row>
    <row r="17" customFormat="false" ht="18" hidden="false" customHeight="true" outlineLevel="0" collapsed="false"/>
    <row r="18" customFormat="false" ht="21.75" hidden="false" customHeight="true" outlineLevel="0" collapsed="false">
      <c r="A18" s="74"/>
      <c r="B18" s="75" t="s">
        <v>318</v>
      </c>
      <c r="C18" s="75"/>
      <c r="D18" s="75"/>
      <c r="E18" s="75"/>
      <c r="F18" s="75"/>
      <c r="G18" s="75"/>
      <c r="H18" s="75"/>
      <c r="I18" s="75"/>
      <c r="J18" s="75"/>
      <c r="K18" s="75"/>
      <c r="L18" s="74"/>
    </row>
    <row r="19" customFormat="false" ht="18" hidden="false" customHeight="true" outlineLevel="0" collapsed="false">
      <c r="A19" s="8"/>
      <c r="B19" s="9" t="s">
        <v>319</v>
      </c>
      <c r="C19" s="76" t="s">
        <v>304</v>
      </c>
      <c r="D19" s="77" t="n">
        <v>1</v>
      </c>
      <c r="E19" s="77" t="n">
        <v>1</v>
      </c>
      <c r="F19" s="77" t="n">
        <v>1</v>
      </c>
      <c r="G19" s="77" t="n">
        <v>1</v>
      </c>
      <c r="H19" s="77" t="n">
        <v>1</v>
      </c>
      <c r="I19" s="11" t="n">
        <f aca="false">MAX(D19,E19)</f>
        <v>1</v>
      </c>
      <c r="J19" s="11" t="n">
        <f aca="false">F19</f>
        <v>1</v>
      </c>
      <c r="K19" s="11" t="n">
        <f aca="false">G19</f>
        <v>1</v>
      </c>
      <c r="L19" s="8"/>
    </row>
    <row r="20" customFormat="false" ht="18" hidden="false" customHeight="true" outlineLevel="0" collapsed="false">
      <c r="A20" s="13"/>
      <c r="B20" s="14" t="s">
        <v>320</v>
      </c>
      <c r="C20" s="78" t="s">
        <v>310</v>
      </c>
      <c r="D20" s="16" t="s">
        <v>311</v>
      </c>
      <c r="E20" s="79" t="n">
        <v>1</v>
      </c>
      <c r="F20" s="79" t="n">
        <v>2</v>
      </c>
      <c r="G20" s="79" t="n">
        <v>3</v>
      </c>
      <c r="H20" s="79" t="n">
        <v>4</v>
      </c>
      <c r="I20" s="16" t="n">
        <f aca="false">MAX(D20,E20)</f>
        <v>1</v>
      </c>
      <c r="J20" s="16" t="n">
        <f aca="false">F20</f>
        <v>2</v>
      </c>
      <c r="K20" s="16" t="n">
        <f aca="false">G20</f>
        <v>3</v>
      </c>
      <c r="L20" s="13"/>
    </row>
    <row r="21" customFormat="false" ht="18" hidden="false" customHeight="true" outlineLevel="0" collapsed="false">
      <c r="A21" s="8"/>
      <c r="B21" s="9" t="s">
        <v>321</v>
      </c>
      <c r="C21" s="76" t="s">
        <v>306</v>
      </c>
      <c r="D21" s="77" t="n">
        <v>1</v>
      </c>
      <c r="E21" s="77" t="n">
        <v>1</v>
      </c>
      <c r="F21" s="77" t="n">
        <v>2</v>
      </c>
      <c r="G21" s="77" t="n">
        <v>2</v>
      </c>
      <c r="H21" s="77" t="n">
        <v>3</v>
      </c>
      <c r="I21" s="11" t="n">
        <f aca="false">MAX(D21,E21)</f>
        <v>1</v>
      </c>
      <c r="J21" s="11" t="n">
        <f aca="false">F21</f>
        <v>2</v>
      </c>
      <c r="K21" s="11" t="n">
        <f aca="false">G21</f>
        <v>2</v>
      </c>
      <c r="L21" s="8"/>
    </row>
    <row r="22" customFormat="false" ht="18" hidden="false" customHeight="true" outlineLevel="0" collapsed="false">
      <c r="A22" s="13"/>
      <c r="B22" s="14" t="s">
        <v>322</v>
      </c>
      <c r="C22" s="78" t="s">
        <v>315</v>
      </c>
      <c r="D22" s="16" t="s">
        <v>311</v>
      </c>
      <c r="E22" s="16" t="s">
        <v>311</v>
      </c>
      <c r="F22" s="79" t="n">
        <v>1</v>
      </c>
      <c r="G22" s="79" t="n">
        <v>1</v>
      </c>
      <c r="H22" s="79" t="n">
        <v>2</v>
      </c>
      <c r="I22" s="16" t="n">
        <f aca="false">MAX(D22,E22)</f>
        <v>0</v>
      </c>
      <c r="J22" s="16" t="n">
        <f aca="false">F22</f>
        <v>1</v>
      </c>
      <c r="K22" s="16" t="n">
        <f aca="false">G22</f>
        <v>1</v>
      </c>
      <c r="L22" s="13"/>
    </row>
    <row r="23" customFormat="false" ht="18" hidden="false" customHeight="true" outlineLevel="0" collapsed="false">
      <c r="A23" s="8"/>
      <c r="B23" s="9" t="s">
        <v>323</v>
      </c>
      <c r="C23" s="76" t="s">
        <v>310</v>
      </c>
      <c r="D23" s="11" t="s">
        <v>311</v>
      </c>
      <c r="E23" s="77" t="n">
        <v>1</v>
      </c>
      <c r="F23" s="77" t="n">
        <v>1</v>
      </c>
      <c r="G23" s="77" t="n">
        <v>1</v>
      </c>
      <c r="H23" s="77" t="n">
        <v>1</v>
      </c>
      <c r="I23" s="11" t="n">
        <f aca="false">MAX(D23,E23)</f>
        <v>1</v>
      </c>
      <c r="J23" s="11" t="n">
        <f aca="false">F23</f>
        <v>1</v>
      </c>
      <c r="K23" s="11" t="n">
        <f aca="false">G23</f>
        <v>1</v>
      </c>
      <c r="L23" s="8"/>
    </row>
    <row r="24" customFormat="false" ht="18" hidden="false" customHeight="true" outlineLevel="0" collapsed="false">
      <c r="A24" s="13"/>
      <c r="B24" s="14" t="s">
        <v>324</v>
      </c>
      <c r="C24" s="78" t="s">
        <v>310</v>
      </c>
      <c r="D24" s="16" t="s">
        <v>311</v>
      </c>
      <c r="E24" s="79" t="n">
        <v>1</v>
      </c>
      <c r="F24" s="79" t="n">
        <v>2</v>
      </c>
      <c r="G24" s="79" t="n">
        <v>2</v>
      </c>
      <c r="H24" s="79" t="n">
        <v>2</v>
      </c>
      <c r="I24" s="16" t="n">
        <f aca="false">MAX(D24,E24)</f>
        <v>1</v>
      </c>
      <c r="J24" s="16" t="n">
        <f aca="false">F24</f>
        <v>2</v>
      </c>
      <c r="K24" s="16" t="n">
        <f aca="false">G24</f>
        <v>2</v>
      </c>
      <c r="L24" s="13"/>
    </row>
    <row r="25" customFormat="false" ht="18" hidden="false" customHeight="true" outlineLevel="0" collapsed="false"/>
    <row r="26" customFormat="false" ht="21.75" hidden="false" customHeight="true" outlineLevel="0" collapsed="false">
      <c r="A26" s="74"/>
      <c r="B26" s="75" t="s">
        <v>325</v>
      </c>
      <c r="C26" s="75"/>
      <c r="D26" s="75"/>
      <c r="E26" s="75"/>
      <c r="F26" s="75"/>
      <c r="G26" s="75"/>
      <c r="H26" s="75"/>
      <c r="I26" s="75"/>
      <c r="J26" s="75"/>
      <c r="K26" s="75"/>
      <c r="L26" s="74"/>
    </row>
    <row r="27" customFormat="false" ht="18" hidden="false" customHeight="true" outlineLevel="0" collapsed="false">
      <c r="A27" s="8"/>
      <c r="B27" s="9" t="s">
        <v>326</v>
      </c>
      <c r="C27" s="76" t="s">
        <v>306</v>
      </c>
      <c r="D27" s="77" t="n">
        <v>1</v>
      </c>
      <c r="E27" s="77" t="n">
        <v>1</v>
      </c>
      <c r="F27" s="77" t="n">
        <v>1</v>
      </c>
      <c r="G27" s="77" t="n">
        <v>1</v>
      </c>
      <c r="H27" s="77" t="n">
        <v>1</v>
      </c>
      <c r="I27" s="11" t="n">
        <f aca="false">MAX(D27,E27)</f>
        <v>1</v>
      </c>
      <c r="J27" s="11" t="n">
        <f aca="false">F27</f>
        <v>1</v>
      </c>
      <c r="K27" s="11" t="n">
        <f aca="false">G27</f>
        <v>1</v>
      </c>
      <c r="L27" s="8"/>
    </row>
    <row r="28" customFormat="false" ht="18" hidden="false" customHeight="true" outlineLevel="0" collapsed="false">
      <c r="A28" s="13"/>
      <c r="B28" s="14" t="s">
        <v>327</v>
      </c>
      <c r="C28" s="78" t="s">
        <v>306</v>
      </c>
      <c r="D28" s="79" t="n">
        <v>1</v>
      </c>
      <c r="E28" s="79" t="n">
        <v>1</v>
      </c>
      <c r="F28" s="79" t="n">
        <v>1</v>
      </c>
      <c r="G28" s="79" t="n">
        <v>1</v>
      </c>
      <c r="H28" s="79" t="n">
        <v>1</v>
      </c>
      <c r="I28" s="16" t="n">
        <f aca="false">MAX(D28,E28)</f>
        <v>1</v>
      </c>
      <c r="J28" s="16" t="n">
        <f aca="false">F28</f>
        <v>1</v>
      </c>
      <c r="K28" s="16" t="n">
        <f aca="false">G28</f>
        <v>1</v>
      </c>
      <c r="L28" s="13"/>
    </row>
    <row r="29" customFormat="false" ht="18" hidden="false" customHeight="true" outlineLevel="0" collapsed="false">
      <c r="A29" s="8"/>
      <c r="B29" s="9" t="s">
        <v>328</v>
      </c>
      <c r="C29" s="76" t="s">
        <v>315</v>
      </c>
      <c r="D29" s="11" t="s">
        <v>311</v>
      </c>
      <c r="E29" s="11" t="s">
        <v>311</v>
      </c>
      <c r="F29" s="77" t="n">
        <v>1</v>
      </c>
      <c r="G29" s="77" t="n">
        <v>1</v>
      </c>
      <c r="H29" s="77" t="n">
        <v>1</v>
      </c>
      <c r="I29" s="11" t="n">
        <f aca="false">MAX(D29,E29)</f>
        <v>0</v>
      </c>
      <c r="J29" s="11" t="n">
        <f aca="false">F29</f>
        <v>1</v>
      </c>
      <c r="K29" s="11" t="n">
        <f aca="false">G29</f>
        <v>1</v>
      </c>
      <c r="L29" s="8"/>
    </row>
    <row r="30" customFormat="false" ht="18" hidden="false" customHeight="true" outlineLevel="0" collapsed="false">
      <c r="A30" s="13"/>
      <c r="B30" s="14" t="s">
        <v>329</v>
      </c>
      <c r="C30" s="78" t="s">
        <v>310</v>
      </c>
      <c r="D30" s="16" t="s">
        <v>311</v>
      </c>
      <c r="E30" s="79" t="n">
        <v>1</v>
      </c>
      <c r="F30" s="79" t="n">
        <v>2</v>
      </c>
      <c r="G30" s="79" t="n">
        <v>2</v>
      </c>
      <c r="H30" s="79" t="n">
        <v>2</v>
      </c>
      <c r="I30" s="16" t="n">
        <f aca="false">MAX(D30,E30)</f>
        <v>1</v>
      </c>
      <c r="J30" s="16" t="n">
        <f aca="false">F30</f>
        <v>2</v>
      </c>
      <c r="K30" s="16" t="n">
        <f aca="false">G30</f>
        <v>2</v>
      </c>
      <c r="L30" s="13"/>
    </row>
    <row r="31" customFormat="false" ht="18" hidden="false" customHeight="true" outlineLevel="0" collapsed="false"/>
    <row r="32" customFormat="false" ht="21.75" hidden="false" customHeight="true" outlineLevel="0" collapsed="false">
      <c r="A32" s="74"/>
      <c r="B32" s="75" t="s">
        <v>330</v>
      </c>
      <c r="C32" s="75"/>
      <c r="D32" s="75"/>
      <c r="E32" s="75"/>
      <c r="F32" s="75"/>
      <c r="G32" s="75"/>
      <c r="H32" s="75"/>
      <c r="I32" s="75"/>
      <c r="J32" s="75"/>
      <c r="K32" s="75"/>
      <c r="L32" s="74"/>
    </row>
    <row r="33" customFormat="false" ht="18" hidden="false" customHeight="true" outlineLevel="0" collapsed="false">
      <c r="A33" s="8"/>
      <c r="B33" s="9" t="s">
        <v>331</v>
      </c>
      <c r="C33" s="76" t="s">
        <v>304</v>
      </c>
      <c r="D33" s="77" t="n">
        <v>1</v>
      </c>
      <c r="E33" s="77" t="n">
        <v>1</v>
      </c>
      <c r="F33" s="77" t="n">
        <v>1</v>
      </c>
      <c r="G33" s="77" t="n">
        <v>1</v>
      </c>
      <c r="H33" s="77" t="n">
        <v>1</v>
      </c>
      <c r="I33" s="11" t="n">
        <f aca="false">MAX(D33,E33)</f>
        <v>1</v>
      </c>
      <c r="J33" s="11" t="n">
        <f aca="false">F33</f>
        <v>1</v>
      </c>
      <c r="K33" s="11" t="n">
        <f aca="false">G33</f>
        <v>1</v>
      </c>
      <c r="L33" s="8"/>
    </row>
    <row r="34" customFormat="false" ht="18" hidden="false" customHeight="true" outlineLevel="0" collapsed="false">
      <c r="A34" s="13"/>
      <c r="B34" s="14" t="s">
        <v>332</v>
      </c>
      <c r="C34" s="78" t="s">
        <v>310</v>
      </c>
      <c r="D34" s="16" t="s">
        <v>311</v>
      </c>
      <c r="E34" s="79" t="n">
        <v>1</v>
      </c>
      <c r="F34" s="79" t="n">
        <v>1</v>
      </c>
      <c r="G34" s="79" t="n">
        <v>2</v>
      </c>
      <c r="H34" s="79" t="n">
        <v>2</v>
      </c>
      <c r="I34" s="16" t="n">
        <f aca="false">MAX(D34,E34)</f>
        <v>1</v>
      </c>
      <c r="J34" s="16" t="n">
        <f aca="false">F34</f>
        <v>1</v>
      </c>
      <c r="K34" s="16" t="n">
        <f aca="false">G34</f>
        <v>2</v>
      </c>
      <c r="L34" s="13"/>
    </row>
    <row r="35" customFormat="false" ht="18" hidden="false" customHeight="true" outlineLevel="0" collapsed="false">
      <c r="A35" s="8"/>
      <c r="B35" s="9" t="s">
        <v>333</v>
      </c>
      <c r="C35" s="76" t="s">
        <v>315</v>
      </c>
      <c r="D35" s="11" t="s">
        <v>311</v>
      </c>
      <c r="E35" s="11" t="s">
        <v>311</v>
      </c>
      <c r="F35" s="77" t="n">
        <v>1</v>
      </c>
      <c r="G35" s="77" t="n">
        <v>1</v>
      </c>
      <c r="H35" s="77" t="n">
        <v>2</v>
      </c>
      <c r="I35" s="11" t="n">
        <f aca="false">MAX(D35,E35)</f>
        <v>0</v>
      </c>
      <c r="J35" s="11" t="n">
        <f aca="false">F35</f>
        <v>1</v>
      </c>
      <c r="K35" s="11" t="n">
        <f aca="false">G35</f>
        <v>1</v>
      </c>
      <c r="L35" s="8"/>
    </row>
    <row r="36" customFormat="false" ht="18" hidden="false" customHeight="true" outlineLevel="0" collapsed="false">
      <c r="A36" s="13"/>
      <c r="B36" s="14" t="s">
        <v>334</v>
      </c>
      <c r="C36" s="78" t="s">
        <v>310</v>
      </c>
      <c r="D36" s="16" t="s">
        <v>311</v>
      </c>
      <c r="E36" s="79" t="n">
        <v>1</v>
      </c>
      <c r="F36" s="79" t="n">
        <v>2</v>
      </c>
      <c r="G36" s="79" t="n">
        <v>3</v>
      </c>
      <c r="H36" s="79" t="n">
        <v>4</v>
      </c>
      <c r="I36" s="16" t="n">
        <f aca="false">MAX(D36,E36)</f>
        <v>1</v>
      </c>
      <c r="J36" s="16" t="n">
        <f aca="false">F36</f>
        <v>2</v>
      </c>
      <c r="K36" s="16" t="n">
        <f aca="false">G36</f>
        <v>3</v>
      </c>
      <c r="L36" s="13"/>
    </row>
    <row r="37" customFormat="false" ht="18" hidden="false" customHeight="true" outlineLevel="0" collapsed="false">
      <c r="A37" s="8"/>
      <c r="B37" s="9" t="s">
        <v>335</v>
      </c>
      <c r="C37" s="76" t="s">
        <v>315</v>
      </c>
      <c r="D37" s="11" t="s">
        <v>311</v>
      </c>
      <c r="E37" s="11" t="s">
        <v>311</v>
      </c>
      <c r="F37" s="77" t="n">
        <v>1</v>
      </c>
      <c r="G37" s="77" t="n">
        <v>2</v>
      </c>
      <c r="H37" s="77" t="n">
        <v>3</v>
      </c>
      <c r="I37" s="11" t="n">
        <f aca="false">MAX(D37,E37)</f>
        <v>0</v>
      </c>
      <c r="J37" s="11" t="n">
        <f aca="false">F37</f>
        <v>1</v>
      </c>
      <c r="K37" s="11" t="n">
        <f aca="false">G37</f>
        <v>2</v>
      </c>
      <c r="L37" s="8"/>
    </row>
    <row r="38" customFormat="false" ht="18" hidden="false" customHeight="true" outlineLevel="0" collapsed="false">
      <c r="A38" s="13"/>
      <c r="B38" s="14" t="s">
        <v>336</v>
      </c>
      <c r="C38" s="78" t="s">
        <v>337</v>
      </c>
      <c r="D38" s="16" t="s">
        <v>311</v>
      </c>
      <c r="E38" s="16" t="s">
        <v>311</v>
      </c>
      <c r="F38" s="16" t="s">
        <v>311</v>
      </c>
      <c r="G38" s="79" t="n">
        <v>1</v>
      </c>
      <c r="H38" s="79" t="n">
        <v>2</v>
      </c>
      <c r="I38" s="16" t="n">
        <f aca="false">MAX(D38,E38)</f>
        <v>0</v>
      </c>
      <c r="J38" s="16" t="str">
        <f aca="false">F38</f>
        <v>—</v>
      </c>
      <c r="K38" s="16" t="n">
        <f aca="false">G38</f>
        <v>1</v>
      </c>
      <c r="L38" s="13"/>
    </row>
    <row r="39" customFormat="false" ht="18" hidden="false" customHeight="true" outlineLevel="0" collapsed="false"/>
    <row r="40" customFormat="false" ht="21.75" hidden="false" customHeight="true" outlineLevel="0" collapsed="false">
      <c r="A40" s="74"/>
      <c r="B40" s="75" t="s">
        <v>338</v>
      </c>
      <c r="C40" s="75"/>
      <c r="D40" s="75"/>
      <c r="E40" s="75"/>
      <c r="F40" s="75"/>
      <c r="G40" s="75"/>
      <c r="H40" s="75"/>
      <c r="I40" s="75"/>
      <c r="J40" s="75"/>
      <c r="K40" s="75"/>
      <c r="L40" s="74"/>
    </row>
    <row r="41" customFormat="false" ht="18" hidden="false" customHeight="true" outlineLevel="0" collapsed="false">
      <c r="A41" s="8"/>
      <c r="B41" s="9" t="s">
        <v>339</v>
      </c>
      <c r="C41" s="76" t="s">
        <v>310</v>
      </c>
      <c r="D41" s="11" t="s">
        <v>311</v>
      </c>
      <c r="E41" s="77" t="n">
        <v>1</v>
      </c>
      <c r="F41" s="77" t="n">
        <v>1</v>
      </c>
      <c r="G41" s="77" t="n">
        <v>1</v>
      </c>
      <c r="H41" s="77" t="n">
        <v>1</v>
      </c>
      <c r="I41" s="11" t="n">
        <f aca="false">MAX(D41,E41)</f>
        <v>1</v>
      </c>
      <c r="J41" s="11" t="n">
        <f aca="false">F41</f>
        <v>1</v>
      </c>
      <c r="K41" s="11" t="n">
        <f aca="false">G41</f>
        <v>1</v>
      </c>
      <c r="L41" s="8"/>
    </row>
    <row r="42" customFormat="false" ht="18" hidden="false" customHeight="true" outlineLevel="0" collapsed="false">
      <c r="A42" s="13"/>
      <c r="B42" s="14" t="s">
        <v>340</v>
      </c>
      <c r="C42" s="78" t="s">
        <v>310</v>
      </c>
      <c r="D42" s="16" t="s">
        <v>311</v>
      </c>
      <c r="E42" s="79" t="n">
        <v>1</v>
      </c>
      <c r="F42" s="79" t="n">
        <v>1</v>
      </c>
      <c r="G42" s="79" t="n">
        <v>1</v>
      </c>
      <c r="H42" s="79" t="n">
        <v>1</v>
      </c>
      <c r="I42" s="16" t="n">
        <f aca="false">MAX(D42,E42)</f>
        <v>1</v>
      </c>
      <c r="J42" s="16" t="n">
        <f aca="false">F42</f>
        <v>1</v>
      </c>
      <c r="K42" s="16" t="n">
        <f aca="false">G42</f>
        <v>1</v>
      </c>
      <c r="L42" s="13"/>
    </row>
    <row r="43" customFormat="false" ht="18" hidden="false" customHeight="true" outlineLevel="0" collapsed="false">
      <c r="A43" s="8"/>
      <c r="B43" s="9" t="s">
        <v>341</v>
      </c>
      <c r="C43" s="76" t="s">
        <v>306</v>
      </c>
      <c r="D43" s="77" t="n">
        <v>1</v>
      </c>
      <c r="E43" s="77" t="n">
        <v>1</v>
      </c>
      <c r="F43" s="77" t="n">
        <v>1</v>
      </c>
      <c r="G43" s="77" t="n">
        <v>1</v>
      </c>
      <c r="H43" s="77" t="n">
        <v>1</v>
      </c>
      <c r="I43" s="11" t="n">
        <f aca="false">MAX(D43,E43)</f>
        <v>1</v>
      </c>
      <c r="J43" s="11" t="n">
        <f aca="false">F43</f>
        <v>1</v>
      </c>
      <c r="K43" s="11" t="n">
        <f aca="false">G43</f>
        <v>1</v>
      </c>
      <c r="L43" s="8"/>
    </row>
    <row r="44" customFormat="false" ht="18" hidden="false" customHeight="true" outlineLevel="0" collapsed="false"/>
    <row r="45" customFormat="false" ht="21.75" hidden="false" customHeight="true" outlineLevel="0" collapsed="false">
      <c r="A45" s="20"/>
      <c r="B45" s="80" t="s">
        <v>342</v>
      </c>
      <c r="C45" s="80"/>
      <c r="D45" s="81" t="n">
        <f aca="false">SUM(D6:D44)</f>
        <v>13</v>
      </c>
      <c r="E45" s="81" t="n">
        <f aca="false">SUM(E6:E44)</f>
        <v>25</v>
      </c>
      <c r="F45" s="81" t="n">
        <f aca="false">SUM(F6:F44)</f>
        <v>42</v>
      </c>
      <c r="G45" s="81" t="n">
        <f aca="false">SUM(G6:G44)</f>
        <v>52</v>
      </c>
      <c r="H45" s="81" t="n">
        <f aca="false">SUM(H6:H44)</f>
        <v>66</v>
      </c>
      <c r="I45" s="81" t="n">
        <f aca="false">SUM(I6:I44)</f>
        <v>25</v>
      </c>
      <c r="J45" s="81" t="n">
        <f aca="false">SUM(J6:J44)</f>
        <v>42</v>
      </c>
      <c r="K45" s="81" t="n">
        <f aca="false">SUM(K6:K44)</f>
        <v>52</v>
      </c>
      <c r="L45" s="20"/>
    </row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</sheetData>
  <mergeCells count="8">
    <mergeCell ref="B2:K2"/>
    <mergeCell ref="B3:K3"/>
    <mergeCell ref="B6:K6"/>
    <mergeCell ref="B18:K18"/>
    <mergeCell ref="B26:K26"/>
    <mergeCell ref="B32:K32"/>
    <mergeCell ref="B40:K40"/>
    <mergeCell ref="B45:C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6" min="5" style="1" width="10"/>
    <col collapsed="false" customWidth="true" hidden="false" outlineLevel="0" max="7" min="7" style="1" width="16"/>
    <col collapsed="false" customWidth="true" hidden="false" outlineLevel="0" max="8" min="8" style="1" width="2"/>
  </cols>
  <sheetData>
    <row r="1" customFormat="false" ht="18" hidden="false" customHeight="true" outlineLevel="0" collapsed="false"/>
    <row r="2" customFormat="false" ht="37.5" hidden="false" customHeight="true" outlineLevel="0" collapsed="false">
      <c r="A2" s="70"/>
      <c r="B2" s="71" t="s">
        <v>343</v>
      </c>
      <c r="C2" s="71"/>
      <c r="D2" s="71"/>
      <c r="E2" s="71"/>
      <c r="F2" s="71"/>
      <c r="G2" s="71"/>
      <c r="H2" s="70"/>
    </row>
    <row r="3" customFormat="false" ht="18" hidden="false" customHeight="true" outlineLevel="0" collapsed="false"/>
    <row r="4" customFormat="false" ht="21.75" hidden="false" customHeight="true" outlineLevel="0" collapsed="false">
      <c r="A4" s="73"/>
      <c r="B4" s="73" t="s">
        <v>344</v>
      </c>
      <c r="C4" s="73" t="s">
        <v>345</v>
      </c>
      <c r="D4" s="73" t="s">
        <v>346</v>
      </c>
      <c r="E4" s="73" t="s">
        <v>347</v>
      </c>
      <c r="F4" s="73" t="s">
        <v>348</v>
      </c>
      <c r="G4" s="73" t="s">
        <v>349</v>
      </c>
      <c r="H4" s="73"/>
    </row>
    <row r="5" customFormat="false" ht="21.75" hidden="false" customHeight="true" outlineLevel="0" collapsed="false">
      <c r="A5" s="70"/>
      <c r="B5" s="82" t="s">
        <v>350</v>
      </c>
      <c r="C5" s="82"/>
      <c r="D5" s="82"/>
      <c r="E5" s="82"/>
      <c r="F5" s="82"/>
      <c r="G5" s="82"/>
      <c r="H5" s="70"/>
    </row>
    <row r="6" customFormat="false" ht="19.5" hidden="false" customHeight="true" outlineLevel="0" collapsed="false">
      <c r="A6" s="13"/>
      <c r="B6" s="83" t="s">
        <v>351</v>
      </c>
      <c r="C6" s="15" t="s">
        <v>352</v>
      </c>
      <c r="D6" s="15" t="s">
        <v>353</v>
      </c>
      <c r="E6" s="84" t="s">
        <v>354</v>
      </c>
      <c r="F6" s="85" t="s">
        <v>355</v>
      </c>
      <c r="G6" s="86" t="s">
        <v>356</v>
      </c>
      <c r="H6" s="13"/>
    </row>
    <row r="7" customFormat="false" ht="19.5" hidden="false" customHeight="true" outlineLevel="0" collapsed="false">
      <c r="A7" s="8"/>
      <c r="B7" s="87" t="s">
        <v>357</v>
      </c>
      <c r="C7" s="10" t="s">
        <v>358</v>
      </c>
      <c r="D7" s="10" t="s">
        <v>359</v>
      </c>
      <c r="E7" s="88" t="s">
        <v>360</v>
      </c>
      <c r="F7" s="89" t="s">
        <v>355</v>
      </c>
      <c r="G7" s="90" t="s">
        <v>361</v>
      </c>
      <c r="H7" s="8"/>
    </row>
    <row r="8" customFormat="false" ht="19.5" hidden="false" customHeight="true" outlineLevel="0" collapsed="false">
      <c r="A8" s="13"/>
      <c r="B8" s="83" t="s">
        <v>362</v>
      </c>
      <c r="C8" s="15" t="s">
        <v>363</v>
      </c>
      <c r="D8" s="15" t="s">
        <v>364</v>
      </c>
      <c r="E8" s="84" t="s">
        <v>360</v>
      </c>
      <c r="F8" s="85" t="s">
        <v>365</v>
      </c>
      <c r="G8" s="86" t="s">
        <v>366</v>
      </c>
      <c r="H8" s="13"/>
    </row>
    <row r="9" customFormat="false" ht="19.5" hidden="false" customHeight="true" outlineLevel="0" collapsed="false">
      <c r="A9" s="8"/>
      <c r="B9" s="87" t="s">
        <v>367</v>
      </c>
      <c r="C9" s="10" t="s">
        <v>368</v>
      </c>
      <c r="D9" s="10" t="s">
        <v>369</v>
      </c>
      <c r="E9" s="88" t="s">
        <v>360</v>
      </c>
      <c r="F9" s="89" t="s">
        <v>370</v>
      </c>
      <c r="G9" s="90" t="s">
        <v>371</v>
      </c>
      <c r="H9" s="8"/>
    </row>
    <row r="10" customFormat="false" ht="19.5" hidden="false" customHeight="true" outlineLevel="0" collapsed="false">
      <c r="A10" s="13"/>
      <c r="B10" s="83" t="s">
        <v>372</v>
      </c>
      <c r="C10" s="15" t="s">
        <v>373</v>
      </c>
      <c r="D10" s="15" t="s">
        <v>374</v>
      </c>
      <c r="E10" s="84" t="s">
        <v>375</v>
      </c>
      <c r="F10" s="85" t="s">
        <v>376</v>
      </c>
      <c r="G10" s="86" t="s">
        <v>377</v>
      </c>
      <c r="H10" s="13"/>
    </row>
    <row r="11" customFormat="false" ht="19.5" hidden="false" customHeight="true" outlineLevel="0" collapsed="false">
      <c r="A11" s="8"/>
      <c r="B11" s="87" t="s">
        <v>378</v>
      </c>
      <c r="C11" s="10" t="s">
        <v>379</v>
      </c>
      <c r="D11" s="10" t="s">
        <v>380</v>
      </c>
      <c r="E11" s="88" t="s">
        <v>375</v>
      </c>
      <c r="F11" s="89" t="s">
        <v>381</v>
      </c>
      <c r="G11" s="90" t="s">
        <v>382</v>
      </c>
      <c r="H11" s="8"/>
    </row>
    <row r="12" customFormat="false" ht="18" hidden="false" customHeight="true" outlineLevel="0" collapsed="false"/>
    <row r="13" customFormat="false" ht="21.75" hidden="false" customHeight="true" outlineLevel="0" collapsed="false">
      <c r="A13" s="70"/>
      <c r="B13" s="82" t="s">
        <v>383</v>
      </c>
      <c r="C13" s="82"/>
      <c r="D13" s="82"/>
      <c r="E13" s="82"/>
      <c r="F13" s="82"/>
      <c r="G13" s="82"/>
      <c r="H13" s="70"/>
    </row>
    <row r="14" customFormat="false" ht="19.5" hidden="false" customHeight="true" outlineLevel="0" collapsed="false">
      <c r="A14" s="13"/>
      <c r="B14" s="83" t="s">
        <v>384</v>
      </c>
      <c r="C14" s="15" t="s">
        <v>385</v>
      </c>
      <c r="D14" s="15" t="s">
        <v>386</v>
      </c>
      <c r="E14" s="84" t="s">
        <v>387</v>
      </c>
      <c r="F14" s="85" t="s">
        <v>388</v>
      </c>
      <c r="G14" s="86" t="s">
        <v>389</v>
      </c>
      <c r="H14" s="13"/>
    </row>
    <row r="15" customFormat="false" ht="19.5" hidden="false" customHeight="true" outlineLevel="0" collapsed="false">
      <c r="A15" s="8"/>
      <c r="B15" s="87" t="s">
        <v>390</v>
      </c>
      <c r="C15" s="10" t="s">
        <v>391</v>
      </c>
      <c r="D15" s="10" t="s">
        <v>392</v>
      </c>
      <c r="E15" s="88" t="s">
        <v>393</v>
      </c>
      <c r="F15" s="89" t="s">
        <v>394</v>
      </c>
      <c r="G15" s="90" t="s">
        <v>395</v>
      </c>
      <c r="H15" s="8"/>
    </row>
    <row r="16" customFormat="false" ht="19.5" hidden="false" customHeight="true" outlineLevel="0" collapsed="false">
      <c r="A16" s="13"/>
      <c r="B16" s="83" t="s">
        <v>396</v>
      </c>
      <c r="C16" s="15" t="s">
        <v>397</v>
      </c>
      <c r="D16" s="15" t="s">
        <v>398</v>
      </c>
      <c r="E16" s="84" t="s">
        <v>399</v>
      </c>
      <c r="F16" s="85" t="s">
        <v>400</v>
      </c>
      <c r="G16" s="86" t="s">
        <v>401</v>
      </c>
      <c r="H16" s="13"/>
    </row>
    <row r="17" customFormat="false" ht="19.5" hidden="false" customHeight="true" outlineLevel="0" collapsed="false">
      <c r="A17" s="8"/>
      <c r="B17" s="87" t="s">
        <v>402</v>
      </c>
      <c r="C17" s="10" t="s">
        <v>403</v>
      </c>
      <c r="D17" s="10" t="s">
        <v>404</v>
      </c>
      <c r="E17" s="88" t="s">
        <v>405</v>
      </c>
      <c r="F17" s="89" t="s">
        <v>406</v>
      </c>
      <c r="G17" s="90" t="s">
        <v>407</v>
      </c>
      <c r="H17" s="8"/>
    </row>
    <row r="18" customFormat="false" ht="19.5" hidden="false" customHeight="true" outlineLevel="0" collapsed="false">
      <c r="A18" s="13"/>
      <c r="B18" s="83" t="s">
        <v>408</v>
      </c>
      <c r="C18" s="15" t="s">
        <v>409</v>
      </c>
      <c r="D18" s="15" t="s">
        <v>410</v>
      </c>
      <c r="E18" s="84" t="s">
        <v>411</v>
      </c>
      <c r="F18" s="85" t="s">
        <v>400</v>
      </c>
      <c r="G18" s="86" t="s">
        <v>412</v>
      </c>
      <c r="H18" s="13"/>
    </row>
    <row r="19" customFormat="false" ht="18" hidden="false" customHeight="true" outlineLevel="0" collapsed="false"/>
    <row r="20" customFormat="false" ht="21.75" hidden="false" customHeight="true" outlineLevel="0" collapsed="false">
      <c r="A20" s="70"/>
      <c r="B20" s="82" t="s">
        <v>413</v>
      </c>
      <c r="C20" s="82"/>
      <c r="D20" s="82"/>
      <c r="E20" s="82"/>
      <c r="F20" s="82"/>
      <c r="G20" s="82"/>
      <c r="H20" s="70"/>
    </row>
    <row r="21" customFormat="false" ht="19.5" hidden="false" customHeight="true" outlineLevel="0" collapsed="false">
      <c r="A21" s="8"/>
      <c r="B21" s="87" t="s">
        <v>414</v>
      </c>
      <c r="C21" s="10" t="s">
        <v>415</v>
      </c>
      <c r="D21" s="10" t="s">
        <v>416</v>
      </c>
      <c r="E21" s="88" t="s">
        <v>417</v>
      </c>
      <c r="F21" s="89" t="s">
        <v>418</v>
      </c>
      <c r="G21" s="90" t="s">
        <v>419</v>
      </c>
      <c r="H21" s="8"/>
    </row>
    <row r="22" customFormat="false" ht="19.5" hidden="false" customHeight="true" outlineLevel="0" collapsed="false">
      <c r="A22" s="13"/>
      <c r="B22" s="83" t="s">
        <v>420</v>
      </c>
      <c r="C22" s="15" t="s">
        <v>421</v>
      </c>
      <c r="D22" s="15" t="s">
        <v>422</v>
      </c>
      <c r="E22" s="84" t="s">
        <v>423</v>
      </c>
      <c r="F22" s="85" t="s">
        <v>418</v>
      </c>
      <c r="G22" s="86" t="s">
        <v>424</v>
      </c>
      <c r="H22" s="13"/>
    </row>
    <row r="23" customFormat="false" ht="19.5" hidden="false" customHeight="true" outlineLevel="0" collapsed="false">
      <c r="A23" s="8"/>
      <c r="B23" s="87" t="s">
        <v>425</v>
      </c>
      <c r="C23" s="10" t="s">
        <v>426</v>
      </c>
      <c r="D23" s="10" t="s">
        <v>427</v>
      </c>
      <c r="E23" s="88" t="s">
        <v>428</v>
      </c>
      <c r="F23" s="89" t="s">
        <v>418</v>
      </c>
      <c r="G23" s="90" t="s">
        <v>429</v>
      </c>
      <c r="H23" s="8"/>
    </row>
    <row r="24" customFormat="false" ht="19.5" hidden="false" customHeight="true" outlineLevel="0" collapsed="false">
      <c r="A24" s="13"/>
      <c r="B24" s="83" t="s">
        <v>430</v>
      </c>
      <c r="C24" s="15" t="s">
        <v>431</v>
      </c>
      <c r="D24" s="15" t="s">
        <v>432</v>
      </c>
      <c r="E24" s="84" t="s">
        <v>433</v>
      </c>
      <c r="F24" s="85" t="s">
        <v>434</v>
      </c>
      <c r="G24" s="86" t="s">
        <v>435</v>
      </c>
      <c r="H24" s="13"/>
    </row>
    <row r="25" customFormat="false" ht="19.5" hidden="false" customHeight="true" outlineLevel="0" collapsed="false">
      <c r="A25" s="8"/>
      <c r="B25" s="87" t="s">
        <v>436</v>
      </c>
      <c r="C25" s="10" t="s">
        <v>437</v>
      </c>
      <c r="D25" s="10" t="s">
        <v>438</v>
      </c>
      <c r="E25" s="88" t="s">
        <v>439</v>
      </c>
      <c r="F25" s="89" t="s">
        <v>440</v>
      </c>
      <c r="G25" s="90" t="s">
        <v>441</v>
      </c>
      <c r="H25" s="8"/>
    </row>
    <row r="26" customFormat="false" ht="19.5" hidden="false" customHeight="true" outlineLevel="0" collapsed="false">
      <c r="A26" s="13"/>
      <c r="B26" s="83" t="s">
        <v>442</v>
      </c>
      <c r="C26" s="15" t="s">
        <v>443</v>
      </c>
      <c r="D26" s="15" t="s">
        <v>444</v>
      </c>
      <c r="E26" s="84" t="s">
        <v>445</v>
      </c>
      <c r="F26" s="85" t="s">
        <v>446</v>
      </c>
      <c r="G26" s="86" t="s">
        <v>447</v>
      </c>
      <c r="H26" s="13"/>
    </row>
    <row r="27" customFormat="false" ht="19.5" hidden="false" customHeight="true" outlineLevel="0" collapsed="false">
      <c r="A27" s="8"/>
      <c r="B27" s="87" t="s">
        <v>448</v>
      </c>
      <c r="C27" s="10" t="s">
        <v>449</v>
      </c>
      <c r="D27" s="10" t="s">
        <v>450</v>
      </c>
      <c r="E27" s="88" t="s">
        <v>451</v>
      </c>
      <c r="F27" s="89" t="s">
        <v>452</v>
      </c>
      <c r="G27" s="90" t="s">
        <v>453</v>
      </c>
      <c r="H27" s="8"/>
    </row>
    <row r="28" customFormat="false" ht="19.5" hidden="false" customHeight="true" outlineLevel="0" collapsed="false">
      <c r="A28" s="13"/>
      <c r="B28" s="83" t="s">
        <v>454</v>
      </c>
      <c r="C28" s="15" t="s">
        <v>455</v>
      </c>
      <c r="D28" s="15" t="s">
        <v>456</v>
      </c>
      <c r="E28" s="84" t="s">
        <v>457</v>
      </c>
      <c r="F28" s="85" t="s">
        <v>458</v>
      </c>
      <c r="G28" s="86" t="s">
        <v>459</v>
      </c>
      <c r="H28" s="13"/>
    </row>
    <row r="29" customFormat="false" ht="18" hidden="false" customHeight="true" outlineLevel="0" collapsed="false"/>
    <row r="30" customFormat="false" ht="21.75" hidden="false" customHeight="true" outlineLevel="0" collapsed="false">
      <c r="A30" s="70"/>
      <c r="B30" s="82" t="s">
        <v>460</v>
      </c>
      <c r="C30" s="82"/>
      <c r="D30" s="82"/>
      <c r="E30" s="82"/>
      <c r="F30" s="82"/>
      <c r="G30" s="82"/>
      <c r="H30" s="70"/>
    </row>
    <row r="31" customFormat="false" ht="19.5" hidden="false" customHeight="true" outlineLevel="0" collapsed="false">
      <c r="A31" s="8"/>
      <c r="B31" s="87" t="s">
        <v>461</v>
      </c>
      <c r="C31" s="10" t="s">
        <v>462</v>
      </c>
      <c r="D31" s="10" t="s">
        <v>463</v>
      </c>
      <c r="E31" s="88" t="s">
        <v>464</v>
      </c>
      <c r="F31" s="89" t="s">
        <v>465</v>
      </c>
      <c r="G31" s="90" t="s">
        <v>466</v>
      </c>
      <c r="H31" s="8"/>
    </row>
    <row r="32" customFormat="false" ht="19.5" hidden="false" customHeight="true" outlineLevel="0" collapsed="false">
      <c r="A32" s="13"/>
      <c r="B32" s="83" t="s">
        <v>467</v>
      </c>
      <c r="C32" s="15" t="s">
        <v>468</v>
      </c>
      <c r="D32" s="15" t="s">
        <v>469</v>
      </c>
      <c r="E32" s="84" t="s">
        <v>470</v>
      </c>
      <c r="F32" s="85" t="s">
        <v>471</v>
      </c>
      <c r="G32" s="86" t="s">
        <v>472</v>
      </c>
      <c r="H32" s="13"/>
    </row>
    <row r="33" customFormat="false" ht="19.5" hidden="false" customHeight="true" outlineLevel="0" collapsed="false">
      <c r="A33" s="8"/>
      <c r="B33" s="87" t="s">
        <v>473</v>
      </c>
      <c r="C33" s="10" t="s">
        <v>474</v>
      </c>
      <c r="D33" s="10" t="s">
        <v>475</v>
      </c>
      <c r="E33" s="88" t="s">
        <v>476</v>
      </c>
      <c r="F33" s="89" t="s">
        <v>477</v>
      </c>
      <c r="G33" s="90" t="s">
        <v>478</v>
      </c>
      <c r="H33" s="8"/>
    </row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</sheetData>
  <mergeCells count="5">
    <mergeCell ref="B2:G2"/>
    <mergeCell ref="B5:G5"/>
    <mergeCell ref="B13:G13"/>
    <mergeCell ref="B20:G20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8"/>
    <col collapsed="false" customWidth="true" hidden="false" outlineLevel="0" max="7" min="7" style="1" width="2"/>
  </cols>
  <sheetData>
    <row r="1" customFormat="false" ht="18" hidden="false" customHeight="true" outlineLevel="0" collapsed="false"/>
    <row r="2" customFormat="false" ht="37.5" hidden="false" customHeight="true" outlineLevel="0" collapsed="false">
      <c r="A2" s="91"/>
      <c r="B2" s="92" t="s">
        <v>479</v>
      </c>
      <c r="C2" s="92"/>
      <c r="D2" s="92"/>
      <c r="E2" s="92"/>
      <c r="F2" s="92"/>
      <c r="G2" s="91"/>
    </row>
    <row r="3" customFormat="false" ht="18" hidden="false" customHeight="true" outlineLevel="0" collapsed="false"/>
    <row r="4" customFormat="false" ht="21.75" hidden="false" customHeight="true" outlineLevel="0" collapsed="false">
      <c r="A4" s="73"/>
      <c r="B4" s="73" t="s">
        <v>480</v>
      </c>
      <c r="C4" s="73" t="s">
        <v>481</v>
      </c>
      <c r="D4" s="73" t="s">
        <v>482</v>
      </c>
      <c r="E4" s="73" t="s">
        <v>483</v>
      </c>
      <c r="F4" s="73" t="s">
        <v>7</v>
      </c>
      <c r="G4" s="73"/>
    </row>
    <row r="5" customFormat="false" ht="21.75" hidden="false" customHeight="true" outlineLevel="0" collapsed="false">
      <c r="A5" s="91"/>
      <c r="B5" s="93" t="s">
        <v>484</v>
      </c>
      <c r="C5" s="93"/>
      <c r="D5" s="93"/>
      <c r="E5" s="93"/>
      <c r="F5" s="93"/>
      <c r="G5" s="91"/>
    </row>
    <row r="6" customFormat="false" ht="18.75" hidden="false" customHeight="true" outlineLevel="0" collapsed="false">
      <c r="A6" s="13"/>
      <c r="B6" s="14" t="s">
        <v>485</v>
      </c>
      <c r="C6" s="14"/>
      <c r="D6" s="94" t="s">
        <v>486</v>
      </c>
      <c r="E6" s="84" t="s">
        <v>487</v>
      </c>
      <c r="F6" s="95" t="s">
        <v>41</v>
      </c>
      <c r="G6" s="13"/>
    </row>
    <row r="7" customFormat="false" ht="18.75" hidden="false" customHeight="true" outlineLevel="0" collapsed="false">
      <c r="A7" s="8"/>
      <c r="B7" s="9" t="s">
        <v>488</v>
      </c>
      <c r="C7" s="9"/>
      <c r="D7" s="96" t="s">
        <v>489</v>
      </c>
      <c r="E7" s="88" t="s">
        <v>487</v>
      </c>
      <c r="F7" s="95" t="s">
        <v>41</v>
      </c>
      <c r="G7" s="8"/>
    </row>
    <row r="8" customFormat="false" ht="18.75" hidden="false" customHeight="true" outlineLevel="0" collapsed="false">
      <c r="A8" s="13"/>
      <c r="B8" s="14" t="s">
        <v>490</v>
      </c>
      <c r="C8" s="14"/>
      <c r="D8" s="94" t="s">
        <v>491</v>
      </c>
      <c r="E8" s="84" t="s">
        <v>492</v>
      </c>
      <c r="F8" s="95" t="s">
        <v>41</v>
      </c>
      <c r="G8" s="13"/>
    </row>
    <row r="9" customFormat="false" ht="18.75" hidden="false" customHeight="true" outlineLevel="0" collapsed="false">
      <c r="A9" s="8"/>
      <c r="B9" s="9" t="s">
        <v>493</v>
      </c>
      <c r="C9" s="9"/>
      <c r="D9" s="96" t="s">
        <v>494</v>
      </c>
      <c r="E9" s="88" t="s">
        <v>487</v>
      </c>
      <c r="F9" s="95" t="s">
        <v>41</v>
      </c>
      <c r="G9" s="8"/>
    </row>
    <row r="10" customFormat="false" ht="18.75" hidden="false" customHeight="true" outlineLevel="0" collapsed="false">
      <c r="A10" s="13"/>
      <c r="B10" s="14" t="s">
        <v>495</v>
      </c>
      <c r="C10" s="14"/>
      <c r="D10" s="94" t="s">
        <v>496</v>
      </c>
      <c r="E10" s="84" t="s">
        <v>497</v>
      </c>
      <c r="F10" s="95" t="s">
        <v>41</v>
      </c>
      <c r="G10" s="13"/>
    </row>
    <row r="11" customFormat="false" ht="18.75" hidden="false" customHeight="true" outlineLevel="0" collapsed="false">
      <c r="A11" s="8"/>
      <c r="B11" s="9" t="s">
        <v>498</v>
      </c>
      <c r="C11" s="9"/>
      <c r="D11" s="96" t="s">
        <v>489</v>
      </c>
      <c r="E11" s="88" t="s">
        <v>492</v>
      </c>
      <c r="F11" s="95" t="s">
        <v>41</v>
      </c>
      <c r="G11" s="8"/>
    </row>
    <row r="12" customFormat="false" ht="18.75" hidden="false" customHeight="true" outlineLevel="0" collapsed="false">
      <c r="A12" s="13"/>
      <c r="B12" s="14" t="s">
        <v>499</v>
      </c>
      <c r="C12" s="14"/>
      <c r="D12" s="94" t="s">
        <v>489</v>
      </c>
      <c r="E12" s="84" t="s">
        <v>497</v>
      </c>
      <c r="F12" s="95" t="s">
        <v>41</v>
      </c>
      <c r="G12" s="13"/>
    </row>
    <row r="13" customFormat="false" ht="18.75" hidden="false" customHeight="true" outlineLevel="0" collapsed="false">
      <c r="A13" s="8"/>
      <c r="B13" s="9" t="s">
        <v>500</v>
      </c>
      <c r="C13" s="9"/>
      <c r="D13" s="96" t="s">
        <v>491</v>
      </c>
      <c r="E13" s="88" t="s">
        <v>497</v>
      </c>
      <c r="F13" s="95" t="s">
        <v>41</v>
      </c>
      <c r="G13" s="8"/>
    </row>
    <row r="14" customFormat="false" ht="18.75" hidden="false" customHeight="true" outlineLevel="0" collapsed="false">
      <c r="A14" s="13"/>
      <c r="B14" s="14" t="s">
        <v>501</v>
      </c>
      <c r="C14" s="14"/>
      <c r="D14" s="94" t="s">
        <v>489</v>
      </c>
      <c r="E14" s="84" t="s">
        <v>497</v>
      </c>
      <c r="F14" s="95" t="s">
        <v>41</v>
      </c>
      <c r="G14" s="13"/>
    </row>
    <row r="15" customFormat="false" ht="18.75" hidden="false" customHeight="true" outlineLevel="0" collapsed="false">
      <c r="A15" s="8"/>
      <c r="B15" s="9" t="s">
        <v>502</v>
      </c>
      <c r="C15" s="9"/>
      <c r="D15" s="96" t="s">
        <v>486</v>
      </c>
      <c r="E15" s="88" t="s">
        <v>497</v>
      </c>
      <c r="F15" s="95" t="s">
        <v>41</v>
      </c>
      <c r="G15" s="8"/>
    </row>
    <row r="16" customFormat="false" ht="18.75" hidden="false" customHeight="true" outlineLevel="0" collapsed="false">
      <c r="A16" s="13"/>
      <c r="B16" s="14" t="s">
        <v>503</v>
      </c>
      <c r="C16" s="14"/>
      <c r="D16" s="94" t="s">
        <v>489</v>
      </c>
      <c r="E16" s="84" t="s">
        <v>487</v>
      </c>
      <c r="F16" s="95" t="s">
        <v>41</v>
      </c>
      <c r="G16" s="13"/>
    </row>
    <row r="17" customFormat="false" ht="18.75" hidden="false" customHeight="true" outlineLevel="0" collapsed="false">
      <c r="A17" s="8"/>
      <c r="B17" s="9" t="s">
        <v>504</v>
      </c>
      <c r="C17" s="9"/>
      <c r="D17" s="96" t="s">
        <v>486</v>
      </c>
      <c r="E17" s="88" t="s">
        <v>497</v>
      </c>
      <c r="F17" s="95" t="s">
        <v>41</v>
      </c>
      <c r="G17" s="8"/>
    </row>
    <row r="18" customFormat="false" ht="18" hidden="false" customHeight="true" outlineLevel="0" collapsed="false"/>
    <row r="19" customFormat="false" ht="21.75" hidden="false" customHeight="true" outlineLevel="0" collapsed="false">
      <c r="A19" s="91"/>
      <c r="B19" s="93" t="s">
        <v>505</v>
      </c>
      <c r="C19" s="93"/>
      <c r="D19" s="93"/>
      <c r="E19" s="93"/>
      <c r="F19" s="93"/>
      <c r="G19" s="91"/>
    </row>
    <row r="20" customFormat="false" ht="18.75" hidden="false" customHeight="true" outlineLevel="0" collapsed="false">
      <c r="A20" s="13"/>
      <c r="B20" s="14" t="s">
        <v>506</v>
      </c>
      <c r="C20" s="14"/>
      <c r="D20" s="94" t="s">
        <v>507</v>
      </c>
      <c r="E20" s="84" t="s">
        <v>492</v>
      </c>
      <c r="F20" s="95" t="s">
        <v>41</v>
      </c>
      <c r="G20" s="13"/>
    </row>
    <row r="21" customFormat="false" ht="18.75" hidden="false" customHeight="true" outlineLevel="0" collapsed="false">
      <c r="A21" s="8"/>
      <c r="B21" s="9" t="s">
        <v>508</v>
      </c>
      <c r="C21" s="9"/>
      <c r="D21" s="96" t="s">
        <v>507</v>
      </c>
      <c r="E21" s="88" t="s">
        <v>492</v>
      </c>
      <c r="F21" s="95" t="s">
        <v>41</v>
      </c>
      <c r="G21" s="8"/>
    </row>
    <row r="22" customFormat="false" ht="18.75" hidden="false" customHeight="true" outlineLevel="0" collapsed="false">
      <c r="A22" s="13"/>
      <c r="B22" s="14" t="s">
        <v>509</v>
      </c>
      <c r="C22" s="14"/>
      <c r="D22" s="94" t="s">
        <v>510</v>
      </c>
      <c r="E22" s="84" t="s">
        <v>511</v>
      </c>
      <c r="F22" s="95" t="s">
        <v>41</v>
      </c>
      <c r="G22" s="13"/>
    </row>
    <row r="23" customFormat="false" ht="18.75" hidden="false" customHeight="true" outlineLevel="0" collapsed="false">
      <c r="A23" s="8"/>
      <c r="B23" s="9" t="s">
        <v>512</v>
      </c>
      <c r="C23" s="9"/>
      <c r="D23" s="96" t="s">
        <v>510</v>
      </c>
      <c r="E23" s="88" t="s">
        <v>511</v>
      </c>
      <c r="F23" s="95" t="s">
        <v>41</v>
      </c>
      <c r="G23" s="8"/>
    </row>
    <row r="24" customFormat="false" ht="18.75" hidden="false" customHeight="true" outlineLevel="0" collapsed="false">
      <c r="A24" s="13"/>
      <c r="B24" s="14" t="s">
        <v>513</v>
      </c>
      <c r="C24" s="14"/>
      <c r="D24" s="94" t="s">
        <v>514</v>
      </c>
      <c r="E24" s="84" t="s">
        <v>511</v>
      </c>
      <c r="F24" s="95" t="s">
        <v>41</v>
      </c>
      <c r="G24" s="13"/>
    </row>
    <row r="25" customFormat="false" ht="18.75" hidden="false" customHeight="true" outlineLevel="0" collapsed="false">
      <c r="A25" s="8"/>
      <c r="B25" s="9" t="s">
        <v>515</v>
      </c>
      <c r="C25" s="9"/>
      <c r="D25" s="96" t="s">
        <v>507</v>
      </c>
      <c r="E25" s="88" t="s">
        <v>492</v>
      </c>
      <c r="F25" s="95" t="s">
        <v>41</v>
      </c>
      <c r="G25" s="8"/>
    </row>
    <row r="26" customFormat="false" ht="18.75" hidden="false" customHeight="true" outlineLevel="0" collapsed="false">
      <c r="A26" s="13"/>
      <c r="B26" s="14" t="s">
        <v>516</v>
      </c>
      <c r="C26" s="14"/>
      <c r="D26" s="94" t="s">
        <v>517</v>
      </c>
      <c r="E26" s="84" t="s">
        <v>487</v>
      </c>
      <c r="F26" s="95" t="s">
        <v>41</v>
      </c>
      <c r="G26" s="13"/>
    </row>
    <row r="27" customFormat="false" ht="18.75" hidden="false" customHeight="true" outlineLevel="0" collapsed="false">
      <c r="A27" s="8"/>
      <c r="B27" s="9" t="s">
        <v>518</v>
      </c>
      <c r="C27" s="9"/>
      <c r="D27" s="96" t="s">
        <v>507</v>
      </c>
      <c r="E27" s="88" t="s">
        <v>511</v>
      </c>
      <c r="F27" s="95" t="s">
        <v>41</v>
      </c>
      <c r="G27" s="8"/>
    </row>
    <row r="28" customFormat="false" ht="18.75" hidden="false" customHeight="true" outlineLevel="0" collapsed="false">
      <c r="A28" s="13"/>
      <c r="B28" s="14" t="s">
        <v>519</v>
      </c>
      <c r="C28" s="14"/>
      <c r="D28" s="94" t="s">
        <v>520</v>
      </c>
      <c r="E28" s="84" t="s">
        <v>492</v>
      </c>
      <c r="F28" s="95" t="s">
        <v>41</v>
      </c>
      <c r="G28" s="13"/>
    </row>
    <row r="29" customFormat="false" ht="18.75" hidden="false" customHeight="true" outlineLevel="0" collapsed="false">
      <c r="A29" s="8"/>
      <c r="B29" s="9" t="s">
        <v>521</v>
      </c>
      <c r="C29" s="9"/>
      <c r="D29" s="96" t="s">
        <v>522</v>
      </c>
      <c r="E29" s="88" t="s">
        <v>511</v>
      </c>
      <c r="F29" s="95" t="s">
        <v>41</v>
      </c>
      <c r="G29" s="8"/>
    </row>
    <row r="30" customFormat="false" ht="18" hidden="false" customHeight="true" outlineLevel="0" collapsed="false"/>
    <row r="31" customFormat="false" ht="21.75" hidden="false" customHeight="true" outlineLevel="0" collapsed="false">
      <c r="A31" s="91"/>
      <c r="B31" s="93" t="s">
        <v>523</v>
      </c>
      <c r="C31" s="93"/>
      <c r="D31" s="93"/>
      <c r="E31" s="93"/>
      <c r="F31" s="93"/>
      <c r="G31" s="91"/>
    </row>
    <row r="32" customFormat="false" ht="18.75" hidden="false" customHeight="true" outlineLevel="0" collapsed="false">
      <c r="A32" s="13"/>
      <c r="B32" s="14" t="s">
        <v>524</v>
      </c>
      <c r="C32" s="14"/>
      <c r="D32" s="94" t="s">
        <v>319</v>
      </c>
      <c r="E32" s="84" t="s">
        <v>487</v>
      </c>
      <c r="F32" s="95" t="s">
        <v>41</v>
      </c>
      <c r="G32" s="13"/>
    </row>
    <row r="33" customFormat="false" ht="18.75" hidden="false" customHeight="true" outlineLevel="0" collapsed="false">
      <c r="A33" s="8"/>
      <c r="B33" s="9" t="s">
        <v>525</v>
      </c>
      <c r="C33" s="9"/>
      <c r="D33" s="96" t="s">
        <v>526</v>
      </c>
      <c r="E33" s="88" t="s">
        <v>492</v>
      </c>
      <c r="F33" s="95" t="s">
        <v>41</v>
      </c>
      <c r="G33" s="8"/>
    </row>
    <row r="34" customFormat="false" ht="18.75" hidden="false" customHeight="true" outlineLevel="0" collapsed="false">
      <c r="A34" s="13"/>
      <c r="B34" s="14" t="s">
        <v>527</v>
      </c>
      <c r="C34" s="14"/>
      <c r="D34" s="94" t="s">
        <v>528</v>
      </c>
      <c r="E34" s="84" t="s">
        <v>487</v>
      </c>
      <c r="F34" s="95" t="s">
        <v>41</v>
      </c>
      <c r="G34" s="13"/>
    </row>
    <row r="35" customFormat="false" ht="18.75" hidden="false" customHeight="true" outlineLevel="0" collapsed="false">
      <c r="A35" s="8"/>
      <c r="B35" s="9" t="s">
        <v>529</v>
      </c>
      <c r="C35" s="9"/>
      <c r="D35" s="96" t="s">
        <v>530</v>
      </c>
      <c r="E35" s="88" t="s">
        <v>487</v>
      </c>
      <c r="F35" s="95" t="s">
        <v>41</v>
      </c>
      <c r="G35" s="8"/>
    </row>
    <row r="36" customFormat="false" ht="18.75" hidden="false" customHeight="true" outlineLevel="0" collapsed="false">
      <c r="A36" s="13"/>
      <c r="B36" s="14" t="s">
        <v>531</v>
      </c>
      <c r="C36" s="14"/>
      <c r="D36" s="94" t="s">
        <v>532</v>
      </c>
      <c r="E36" s="84" t="s">
        <v>497</v>
      </c>
      <c r="F36" s="95" t="s">
        <v>41</v>
      </c>
      <c r="G36" s="13"/>
    </row>
    <row r="37" customFormat="false" ht="18.75" hidden="false" customHeight="true" outlineLevel="0" collapsed="false">
      <c r="A37" s="8"/>
      <c r="B37" s="9" t="s">
        <v>533</v>
      </c>
      <c r="C37" s="9"/>
      <c r="D37" s="96" t="s">
        <v>534</v>
      </c>
      <c r="E37" s="88" t="s">
        <v>492</v>
      </c>
      <c r="F37" s="95" t="s">
        <v>41</v>
      </c>
      <c r="G37" s="8"/>
    </row>
    <row r="38" customFormat="false" ht="18.75" hidden="false" customHeight="true" outlineLevel="0" collapsed="false">
      <c r="A38" s="13"/>
      <c r="B38" s="14" t="s">
        <v>535</v>
      </c>
      <c r="C38" s="14"/>
      <c r="D38" s="94" t="s">
        <v>536</v>
      </c>
      <c r="E38" s="84" t="s">
        <v>492</v>
      </c>
      <c r="F38" s="95" t="s">
        <v>41</v>
      </c>
      <c r="G38" s="13"/>
    </row>
    <row r="39" customFormat="false" ht="18.75" hidden="false" customHeight="true" outlineLevel="0" collapsed="false">
      <c r="A39" s="8"/>
      <c r="B39" s="9" t="s">
        <v>537</v>
      </c>
      <c r="C39" s="9"/>
      <c r="D39" s="96" t="s">
        <v>538</v>
      </c>
      <c r="E39" s="88" t="s">
        <v>487</v>
      </c>
      <c r="F39" s="95" t="s">
        <v>41</v>
      </c>
      <c r="G39" s="8"/>
    </row>
    <row r="40" customFormat="false" ht="18.75" hidden="false" customHeight="true" outlineLevel="0" collapsed="false">
      <c r="A40" s="13"/>
      <c r="B40" s="14" t="s">
        <v>539</v>
      </c>
      <c r="C40" s="14"/>
      <c r="D40" s="94" t="s">
        <v>540</v>
      </c>
      <c r="E40" s="84" t="s">
        <v>487</v>
      </c>
      <c r="F40" s="95" t="s">
        <v>41</v>
      </c>
      <c r="G40" s="13"/>
    </row>
    <row r="41" customFormat="false" ht="18.75" hidden="false" customHeight="true" outlineLevel="0" collapsed="false">
      <c r="A41" s="8"/>
      <c r="B41" s="9" t="s">
        <v>541</v>
      </c>
      <c r="C41" s="9"/>
      <c r="D41" s="96" t="s">
        <v>542</v>
      </c>
      <c r="E41" s="88" t="s">
        <v>492</v>
      </c>
      <c r="F41" s="95" t="s">
        <v>41</v>
      </c>
      <c r="G41" s="8"/>
    </row>
    <row r="42" customFormat="false" ht="18.75" hidden="false" customHeight="true" outlineLevel="0" collapsed="false">
      <c r="A42" s="13"/>
      <c r="B42" s="14" t="s">
        <v>543</v>
      </c>
      <c r="C42" s="14"/>
      <c r="D42" s="94" t="s">
        <v>544</v>
      </c>
      <c r="E42" s="84" t="s">
        <v>492</v>
      </c>
      <c r="F42" s="95" t="s">
        <v>41</v>
      </c>
      <c r="G42" s="13"/>
    </row>
    <row r="43" customFormat="false" ht="18" hidden="false" customHeight="true" outlineLevel="0" collapsed="false"/>
    <row r="44" customFormat="false" ht="21.75" hidden="false" customHeight="true" outlineLevel="0" collapsed="false">
      <c r="A44" s="91"/>
      <c r="B44" s="93" t="s">
        <v>545</v>
      </c>
      <c r="C44" s="93"/>
      <c r="D44" s="93"/>
      <c r="E44" s="93"/>
      <c r="F44" s="93"/>
      <c r="G44" s="91"/>
    </row>
    <row r="45" customFormat="false" ht="18.75" hidden="false" customHeight="true" outlineLevel="0" collapsed="false">
      <c r="A45" s="8"/>
      <c r="B45" s="9" t="s">
        <v>546</v>
      </c>
      <c r="C45" s="9"/>
      <c r="D45" s="96" t="s">
        <v>547</v>
      </c>
      <c r="E45" s="88" t="s">
        <v>548</v>
      </c>
      <c r="F45" s="95" t="s">
        <v>41</v>
      </c>
      <c r="G45" s="8"/>
    </row>
    <row r="46" customFormat="false" ht="18.75" hidden="false" customHeight="true" outlineLevel="0" collapsed="false">
      <c r="A46" s="13"/>
      <c r="B46" s="14" t="s">
        <v>549</v>
      </c>
      <c r="C46" s="14"/>
      <c r="D46" s="94" t="s">
        <v>544</v>
      </c>
      <c r="E46" s="84" t="s">
        <v>497</v>
      </c>
      <c r="F46" s="95" t="s">
        <v>41</v>
      </c>
      <c r="G46" s="13"/>
    </row>
    <row r="47" customFormat="false" ht="18.75" hidden="false" customHeight="true" outlineLevel="0" collapsed="false">
      <c r="A47" s="8"/>
      <c r="B47" s="9" t="s">
        <v>550</v>
      </c>
      <c r="C47" s="9"/>
      <c r="D47" s="96" t="s">
        <v>540</v>
      </c>
      <c r="E47" s="88" t="s">
        <v>511</v>
      </c>
      <c r="F47" s="95" t="s">
        <v>41</v>
      </c>
      <c r="G47" s="8"/>
    </row>
    <row r="48" customFormat="false" ht="18.75" hidden="false" customHeight="true" outlineLevel="0" collapsed="false">
      <c r="A48" s="13"/>
      <c r="B48" s="14" t="s">
        <v>551</v>
      </c>
      <c r="C48" s="14"/>
      <c r="D48" s="94" t="s">
        <v>544</v>
      </c>
      <c r="E48" s="84" t="s">
        <v>487</v>
      </c>
      <c r="F48" s="95" t="s">
        <v>41</v>
      </c>
      <c r="G48" s="13"/>
    </row>
    <row r="49" customFormat="false" ht="18.75" hidden="false" customHeight="true" outlineLevel="0" collapsed="false">
      <c r="A49" s="8"/>
      <c r="B49" s="9" t="s">
        <v>552</v>
      </c>
      <c r="C49" s="9"/>
      <c r="D49" s="96" t="s">
        <v>544</v>
      </c>
      <c r="E49" s="88" t="s">
        <v>487</v>
      </c>
      <c r="F49" s="95" t="s">
        <v>41</v>
      </c>
      <c r="G49" s="8"/>
    </row>
    <row r="50" customFormat="false" ht="18.75" hidden="false" customHeight="true" outlineLevel="0" collapsed="false">
      <c r="A50" s="13"/>
      <c r="B50" s="14" t="s">
        <v>553</v>
      </c>
      <c r="C50" s="14"/>
      <c r="D50" s="94" t="s">
        <v>544</v>
      </c>
      <c r="E50" s="84" t="s">
        <v>548</v>
      </c>
      <c r="F50" s="95" t="s">
        <v>41</v>
      </c>
      <c r="G50" s="13"/>
    </row>
    <row r="51" customFormat="false" ht="18.75" hidden="false" customHeight="true" outlineLevel="0" collapsed="false">
      <c r="A51" s="8"/>
      <c r="B51" s="9" t="s">
        <v>554</v>
      </c>
      <c r="C51" s="9"/>
      <c r="D51" s="96" t="s">
        <v>544</v>
      </c>
      <c r="E51" s="88" t="s">
        <v>487</v>
      </c>
      <c r="F51" s="95" t="s">
        <v>41</v>
      </c>
      <c r="G51" s="8"/>
    </row>
    <row r="52" customFormat="false" ht="18.75" hidden="false" customHeight="true" outlineLevel="0" collapsed="false">
      <c r="A52" s="13"/>
      <c r="B52" s="14" t="s">
        <v>555</v>
      </c>
      <c r="C52" s="14"/>
      <c r="D52" s="94" t="s">
        <v>544</v>
      </c>
      <c r="E52" s="84" t="s">
        <v>497</v>
      </c>
      <c r="F52" s="95" t="s">
        <v>41</v>
      </c>
      <c r="G52" s="13"/>
    </row>
    <row r="53" customFormat="false" ht="18.75" hidden="false" customHeight="true" outlineLevel="0" collapsed="false">
      <c r="A53" s="8"/>
      <c r="B53" s="9" t="s">
        <v>556</v>
      </c>
      <c r="C53" s="9"/>
      <c r="D53" s="96" t="s">
        <v>540</v>
      </c>
      <c r="E53" s="88" t="s">
        <v>487</v>
      </c>
      <c r="F53" s="95" t="s">
        <v>41</v>
      </c>
      <c r="G53" s="8"/>
    </row>
    <row r="54" customFormat="false" ht="18.75" hidden="false" customHeight="true" outlineLevel="0" collapsed="false">
      <c r="A54" s="13"/>
      <c r="B54" s="14" t="s">
        <v>557</v>
      </c>
      <c r="C54" s="14"/>
      <c r="D54" s="94" t="s">
        <v>334</v>
      </c>
      <c r="E54" s="84" t="s">
        <v>487</v>
      </c>
      <c r="F54" s="95" t="s">
        <v>41</v>
      </c>
      <c r="G54" s="13"/>
    </row>
    <row r="55" customFormat="false" ht="18" hidden="false" customHeight="true" outlineLevel="0" collapsed="false"/>
    <row r="56" customFormat="false" ht="21.75" hidden="false" customHeight="true" outlineLevel="0" collapsed="false">
      <c r="A56" s="91"/>
      <c r="B56" s="93" t="s">
        <v>558</v>
      </c>
      <c r="C56" s="93"/>
      <c r="D56" s="93"/>
      <c r="E56" s="93"/>
      <c r="F56" s="93"/>
      <c r="G56" s="91"/>
    </row>
    <row r="57" customFormat="false" ht="18.75" hidden="false" customHeight="true" outlineLevel="0" collapsed="false">
      <c r="A57" s="8"/>
      <c r="B57" s="9" t="s">
        <v>559</v>
      </c>
      <c r="C57" s="9"/>
      <c r="D57" s="96" t="s">
        <v>560</v>
      </c>
      <c r="E57" s="88" t="s">
        <v>487</v>
      </c>
      <c r="F57" s="95" t="s">
        <v>41</v>
      </c>
      <c r="G57" s="8"/>
    </row>
    <row r="58" customFormat="false" ht="18.75" hidden="false" customHeight="true" outlineLevel="0" collapsed="false">
      <c r="A58" s="13"/>
      <c r="B58" s="14" t="s">
        <v>561</v>
      </c>
      <c r="C58" s="14"/>
      <c r="D58" s="94" t="s">
        <v>560</v>
      </c>
      <c r="E58" s="84" t="s">
        <v>487</v>
      </c>
      <c r="F58" s="95" t="s">
        <v>41</v>
      </c>
      <c r="G58" s="13"/>
    </row>
    <row r="59" customFormat="false" ht="18.75" hidden="false" customHeight="true" outlineLevel="0" collapsed="false">
      <c r="A59" s="8"/>
      <c r="B59" s="9" t="s">
        <v>562</v>
      </c>
      <c r="C59" s="9"/>
      <c r="D59" s="96" t="s">
        <v>563</v>
      </c>
      <c r="E59" s="88" t="s">
        <v>497</v>
      </c>
      <c r="F59" s="95" t="s">
        <v>41</v>
      </c>
      <c r="G59" s="8"/>
    </row>
    <row r="60" customFormat="false" ht="18.75" hidden="false" customHeight="true" outlineLevel="0" collapsed="false">
      <c r="A60" s="13"/>
      <c r="B60" s="14" t="s">
        <v>564</v>
      </c>
      <c r="C60" s="14"/>
      <c r="D60" s="94" t="s">
        <v>565</v>
      </c>
      <c r="E60" s="84" t="s">
        <v>487</v>
      </c>
      <c r="F60" s="95" t="s">
        <v>41</v>
      </c>
      <c r="G60" s="13"/>
    </row>
    <row r="61" customFormat="false" ht="18.75" hidden="false" customHeight="true" outlineLevel="0" collapsed="false">
      <c r="A61" s="8"/>
      <c r="B61" s="9" t="s">
        <v>566</v>
      </c>
      <c r="C61" s="9"/>
      <c r="D61" s="96" t="s">
        <v>567</v>
      </c>
      <c r="E61" s="88" t="s">
        <v>487</v>
      </c>
      <c r="F61" s="95" t="s">
        <v>41</v>
      </c>
      <c r="G61" s="8"/>
    </row>
    <row r="62" customFormat="false" ht="18.75" hidden="false" customHeight="true" outlineLevel="0" collapsed="false">
      <c r="A62" s="13"/>
      <c r="B62" s="14" t="s">
        <v>568</v>
      </c>
      <c r="C62" s="14"/>
      <c r="D62" s="94" t="s">
        <v>560</v>
      </c>
      <c r="E62" s="84" t="s">
        <v>497</v>
      </c>
      <c r="F62" s="95" t="s">
        <v>41</v>
      </c>
      <c r="G62" s="13"/>
    </row>
    <row r="63" customFormat="false" ht="18.75" hidden="false" customHeight="true" outlineLevel="0" collapsed="false">
      <c r="A63" s="8"/>
      <c r="B63" s="9" t="s">
        <v>569</v>
      </c>
      <c r="C63" s="9"/>
      <c r="D63" s="96" t="s">
        <v>489</v>
      </c>
      <c r="E63" s="88" t="s">
        <v>487</v>
      </c>
      <c r="F63" s="95" t="s">
        <v>41</v>
      </c>
      <c r="G63" s="8"/>
    </row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</sheetData>
  <mergeCells count="6">
    <mergeCell ref="B2:F2"/>
    <mergeCell ref="B5:F5"/>
    <mergeCell ref="B19:F19"/>
    <mergeCell ref="B31:F31"/>
    <mergeCell ref="B44:F44"/>
    <mergeCell ref="B56:F56"/>
  </mergeCells>
  <dataValidations count="1">
    <dataValidation allowBlank="true" errorStyle="stop" operator="between" showDropDown="false" showErrorMessage="false" showInputMessage="false" sqref="F6:F17 F20:F29 F32:F42 F45:F54 F57:F63" type="list">
      <formula1>"Not started,In progress,Complete,Blocked"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6" min="4" style="1" width="14"/>
    <col collapsed="false" customWidth="true" hidden="false" outlineLevel="0" max="7" min="7" style="1" width="20"/>
    <col collapsed="false" customWidth="true" hidden="false" outlineLevel="0" max="8" min="8" style="1" width="2"/>
  </cols>
  <sheetData>
    <row r="1" customFormat="false" ht="18" hidden="false" customHeight="true" outlineLevel="0" collapsed="false"/>
    <row r="2" customFormat="false" ht="37.5" hidden="false" customHeight="true" outlineLevel="0" collapsed="false">
      <c r="A2" s="97"/>
      <c r="B2" s="98" t="s">
        <v>570</v>
      </c>
      <c r="C2" s="98"/>
      <c r="D2" s="98"/>
      <c r="E2" s="98"/>
      <c r="F2" s="98"/>
      <c r="G2" s="98"/>
      <c r="H2" s="97"/>
    </row>
    <row r="3" customFormat="false" ht="18" hidden="false" customHeight="true" outlineLevel="0" collapsed="false"/>
    <row r="4" customFormat="false" ht="21.75" hidden="false" customHeight="true" outlineLevel="0" collapsed="false">
      <c r="A4" s="73"/>
      <c r="B4" s="73" t="s">
        <v>571</v>
      </c>
      <c r="C4" s="73" t="s">
        <v>572</v>
      </c>
      <c r="D4" s="73" t="s">
        <v>573</v>
      </c>
      <c r="E4" s="73" t="s">
        <v>574</v>
      </c>
      <c r="F4" s="73" t="s">
        <v>575</v>
      </c>
      <c r="G4" s="73" t="s">
        <v>576</v>
      </c>
      <c r="H4" s="73"/>
    </row>
    <row r="5" customFormat="false" ht="21.75" hidden="false" customHeight="true" outlineLevel="0" collapsed="false">
      <c r="A5" s="97"/>
      <c r="B5" s="99" t="s">
        <v>577</v>
      </c>
      <c r="C5" s="99"/>
      <c r="D5" s="99"/>
      <c r="E5" s="99"/>
      <c r="F5" s="99"/>
      <c r="G5" s="99"/>
      <c r="H5" s="97"/>
    </row>
    <row r="6" customFormat="false" ht="18.75" hidden="false" customHeight="true" outlineLevel="0" collapsed="false">
      <c r="A6" s="13"/>
      <c r="B6" s="83" t="s">
        <v>578</v>
      </c>
      <c r="C6" s="16" t="s">
        <v>579</v>
      </c>
      <c r="D6" s="16" t="s">
        <v>580</v>
      </c>
      <c r="E6" s="16" t="s">
        <v>581</v>
      </c>
      <c r="F6" s="16" t="s">
        <v>582</v>
      </c>
      <c r="G6" s="100" t="s">
        <v>583</v>
      </c>
      <c r="H6" s="13"/>
    </row>
    <row r="7" customFormat="false" ht="18.75" hidden="false" customHeight="true" outlineLevel="0" collapsed="false">
      <c r="A7" s="8"/>
      <c r="B7" s="87" t="s">
        <v>584</v>
      </c>
      <c r="C7" s="11" t="s">
        <v>585</v>
      </c>
      <c r="D7" s="11" t="s">
        <v>586</v>
      </c>
      <c r="E7" s="11" t="s">
        <v>587</v>
      </c>
      <c r="F7" s="11" t="s">
        <v>588</v>
      </c>
      <c r="G7" s="101" t="s">
        <v>589</v>
      </c>
      <c r="H7" s="8"/>
    </row>
    <row r="8" customFormat="false" ht="18.75" hidden="false" customHeight="true" outlineLevel="0" collapsed="false">
      <c r="A8" s="13"/>
      <c r="B8" s="83" t="s">
        <v>590</v>
      </c>
      <c r="C8" s="16" t="s">
        <v>591</v>
      </c>
      <c r="D8" s="16" t="s">
        <v>592</v>
      </c>
      <c r="E8" s="16" t="s">
        <v>593</v>
      </c>
      <c r="F8" s="16" t="s">
        <v>594</v>
      </c>
      <c r="G8" s="100" t="s">
        <v>595</v>
      </c>
      <c r="H8" s="13"/>
    </row>
    <row r="9" customFormat="false" ht="18.75" hidden="false" customHeight="true" outlineLevel="0" collapsed="false">
      <c r="A9" s="8"/>
      <c r="B9" s="87" t="s">
        <v>596</v>
      </c>
      <c r="C9" s="11" t="s">
        <v>597</v>
      </c>
      <c r="D9" s="11" t="s">
        <v>598</v>
      </c>
      <c r="E9" s="11" t="s">
        <v>599</v>
      </c>
      <c r="F9" s="11" t="s">
        <v>600</v>
      </c>
      <c r="G9" s="101" t="s">
        <v>601</v>
      </c>
      <c r="H9" s="8"/>
    </row>
    <row r="10" customFormat="false" ht="18.75" hidden="false" customHeight="true" outlineLevel="0" collapsed="false">
      <c r="A10" s="13"/>
      <c r="B10" s="83" t="s">
        <v>602</v>
      </c>
      <c r="C10" s="16" t="s">
        <v>603</v>
      </c>
      <c r="D10" s="16" t="s">
        <v>604</v>
      </c>
      <c r="E10" s="16" t="s">
        <v>605</v>
      </c>
      <c r="F10" s="16" t="s">
        <v>606</v>
      </c>
      <c r="G10" s="100" t="s">
        <v>607</v>
      </c>
      <c r="H10" s="13"/>
    </row>
    <row r="11" customFormat="false" ht="18" hidden="false" customHeight="true" outlineLevel="0" collapsed="false"/>
    <row r="12" customFormat="false" ht="21.75" hidden="false" customHeight="true" outlineLevel="0" collapsed="false">
      <c r="A12" s="97"/>
      <c r="B12" s="99" t="s">
        <v>608</v>
      </c>
      <c r="C12" s="99"/>
      <c r="D12" s="99"/>
      <c r="E12" s="99"/>
      <c r="F12" s="99"/>
      <c r="G12" s="99"/>
      <c r="H12" s="97"/>
    </row>
    <row r="13" customFormat="false" ht="18.75" hidden="false" customHeight="true" outlineLevel="0" collapsed="false">
      <c r="A13" s="8"/>
      <c r="B13" s="87" t="s">
        <v>609</v>
      </c>
      <c r="C13" s="11" t="s">
        <v>610</v>
      </c>
      <c r="D13" s="11" t="s">
        <v>611</v>
      </c>
      <c r="E13" s="11" t="s">
        <v>612</v>
      </c>
      <c r="F13" s="11" t="s">
        <v>613</v>
      </c>
      <c r="G13" s="101" t="s">
        <v>614</v>
      </c>
      <c r="H13" s="8"/>
    </row>
    <row r="14" customFormat="false" ht="18.75" hidden="false" customHeight="true" outlineLevel="0" collapsed="false">
      <c r="A14" s="13"/>
      <c r="B14" s="83" t="s">
        <v>615</v>
      </c>
      <c r="C14" s="16" t="s">
        <v>616</v>
      </c>
      <c r="D14" s="16" t="s">
        <v>617</v>
      </c>
      <c r="E14" s="16" t="s">
        <v>618</v>
      </c>
      <c r="F14" s="16" t="s">
        <v>619</v>
      </c>
      <c r="G14" s="100" t="s">
        <v>620</v>
      </c>
      <c r="H14" s="13"/>
    </row>
    <row r="15" customFormat="false" ht="18.75" hidden="false" customHeight="true" outlineLevel="0" collapsed="false">
      <c r="A15" s="8"/>
      <c r="B15" s="87" t="s">
        <v>621</v>
      </c>
      <c r="C15" s="11" t="s">
        <v>617</v>
      </c>
      <c r="D15" s="11" t="s">
        <v>618</v>
      </c>
      <c r="E15" s="11" t="s">
        <v>619</v>
      </c>
      <c r="F15" s="11" t="s">
        <v>612</v>
      </c>
      <c r="G15" s="101" t="s">
        <v>622</v>
      </c>
      <c r="H15" s="8"/>
    </row>
    <row r="16" customFormat="false" ht="18.75" hidden="false" customHeight="true" outlineLevel="0" collapsed="false">
      <c r="A16" s="13"/>
      <c r="B16" s="83" t="s">
        <v>623</v>
      </c>
      <c r="C16" s="16" t="s">
        <v>624</v>
      </c>
      <c r="D16" s="16" t="s">
        <v>625</v>
      </c>
      <c r="E16" s="16" t="s">
        <v>626</v>
      </c>
      <c r="F16" s="16" t="s">
        <v>627</v>
      </c>
      <c r="G16" s="100" t="s">
        <v>628</v>
      </c>
      <c r="H16" s="13"/>
    </row>
    <row r="17" customFormat="false" ht="18.75" hidden="false" customHeight="true" outlineLevel="0" collapsed="false">
      <c r="A17" s="8"/>
      <c r="B17" s="87" t="s">
        <v>629</v>
      </c>
      <c r="C17" s="11" t="s">
        <v>630</v>
      </c>
      <c r="D17" s="11" t="s">
        <v>631</v>
      </c>
      <c r="E17" s="11" t="s">
        <v>625</v>
      </c>
      <c r="F17" s="11" t="s">
        <v>632</v>
      </c>
      <c r="G17" s="101" t="s">
        <v>633</v>
      </c>
      <c r="H17" s="8"/>
    </row>
    <row r="18" customFormat="false" ht="18.75" hidden="false" customHeight="true" outlineLevel="0" collapsed="false">
      <c r="A18" s="13"/>
      <c r="B18" s="83" t="s">
        <v>634</v>
      </c>
      <c r="C18" s="16" t="s">
        <v>311</v>
      </c>
      <c r="D18" s="16" t="s">
        <v>635</v>
      </c>
      <c r="E18" s="16" t="s">
        <v>636</v>
      </c>
      <c r="F18" s="16" t="s">
        <v>637</v>
      </c>
      <c r="G18" s="100" t="s">
        <v>638</v>
      </c>
      <c r="H18" s="13"/>
    </row>
    <row r="19" customFormat="false" ht="18" hidden="false" customHeight="true" outlineLevel="0" collapsed="false"/>
    <row r="20" customFormat="false" ht="21.75" hidden="false" customHeight="true" outlineLevel="0" collapsed="false">
      <c r="A20" s="97"/>
      <c r="B20" s="99" t="s">
        <v>639</v>
      </c>
      <c r="C20" s="99"/>
      <c r="D20" s="99"/>
      <c r="E20" s="99"/>
      <c r="F20" s="99"/>
      <c r="G20" s="99"/>
      <c r="H20" s="97"/>
    </row>
    <row r="21" customFormat="false" ht="18.75" hidden="false" customHeight="true" outlineLevel="0" collapsed="false">
      <c r="A21" s="8"/>
      <c r="B21" s="87" t="s">
        <v>640</v>
      </c>
      <c r="C21" s="11" t="s">
        <v>641</v>
      </c>
      <c r="D21" s="11" t="s">
        <v>642</v>
      </c>
      <c r="E21" s="11" t="s">
        <v>643</v>
      </c>
      <c r="F21" s="11" t="s">
        <v>644</v>
      </c>
      <c r="G21" s="101" t="s">
        <v>645</v>
      </c>
      <c r="H21" s="8"/>
    </row>
    <row r="22" customFormat="false" ht="18.75" hidden="false" customHeight="true" outlineLevel="0" collapsed="false">
      <c r="A22" s="13"/>
      <c r="B22" s="83" t="s">
        <v>646</v>
      </c>
      <c r="C22" s="16" t="s">
        <v>647</v>
      </c>
      <c r="D22" s="16" t="s">
        <v>648</v>
      </c>
      <c r="E22" s="16" t="s">
        <v>649</v>
      </c>
      <c r="F22" s="16" t="s">
        <v>650</v>
      </c>
      <c r="G22" s="100" t="s">
        <v>651</v>
      </c>
      <c r="H22" s="13"/>
    </row>
    <row r="23" customFormat="false" ht="18.75" hidden="false" customHeight="true" outlineLevel="0" collapsed="false">
      <c r="A23" s="8"/>
      <c r="B23" s="87" t="s">
        <v>652</v>
      </c>
      <c r="C23" s="11" t="s">
        <v>653</v>
      </c>
      <c r="D23" s="11" t="s">
        <v>654</v>
      </c>
      <c r="E23" s="11" t="s">
        <v>655</v>
      </c>
      <c r="F23" s="11" t="s">
        <v>656</v>
      </c>
      <c r="G23" s="101" t="s">
        <v>657</v>
      </c>
      <c r="H23" s="8"/>
    </row>
    <row r="24" customFormat="false" ht="18.75" hidden="false" customHeight="true" outlineLevel="0" collapsed="false">
      <c r="A24" s="13"/>
      <c r="B24" s="83" t="s">
        <v>658</v>
      </c>
      <c r="C24" s="16" t="s">
        <v>659</v>
      </c>
      <c r="D24" s="16" t="s">
        <v>660</v>
      </c>
      <c r="E24" s="16" t="s">
        <v>661</v>
      </c>
      <c r="F24" s="16" t="s">
        <v>662</v>
      </c>
      <c r="G24" s="100" t="s">
        <v>663</v>
      </c>
      <c r="H24" s="13"/>
    </row>
    <row r="25" customFormat="false" ht="18.75" hidden="false" customHeight="true" outlineLevel="0" collapsed="false">
      <c r="A25" s="8"/>
      <c r="B25" s="87" t="s">
        <v>664</v>
      </c>
      <c r="C25" s="11" t="s">
        <v>665</v>
      </c>
      <c r="D25" s="11" t="s">
        <v>666</v>
      </c>
      <c r="E25" s="11" t="s">
        <v>666</v>
      </c>
      <c r="F25" s="11" t="s">
        <v>667</v>
      </c>
      <c r="G25" s="101" t="s">
        <v>668</v>
      </c>
      <c r="H25" s="8"/>
    </row>
    <row r="26" customFormat="false" ht="18" hidden="false" customHeight="true" outlineLevel="0" collapsed="false"/>
    <row r="27" customFormat="false" ht="21.75" hidden="false" customHeight="true" outlineLevel="0" collapsed="false">
      <c r="A27" s="97"/>
      <c r="B27" s="99" t="s">
        <v>669</v>
      </c>
      <c r="C27" s="99"/>
      <c r="D27" s="99"/>
      <c r="E27" s="99"/>
      <c r="F27" s="99"/>
      <c r="G27" s="99"/>
      <c r="H27" s="97"/>
    </row>
    <row r="28" customFormat="false" ht="18.75" hidden="false" customHeight="true" outlineLevel="0" collapsed="false">
      <c r="A28" s="13"/>
      <c r="B28" s="83" t="s">
        <v>670</v>
      </c>
      <c r="C28" s="16" t="s">
        <v>671</v>
      </c>
      <c r="D28" s="16" t="s">
        <v>672</v>
      </c>
      <c r="E28" s="16" t="s">
        <v>673</v>
      </c>
      <c r="F28" s="16" t="s">
        <v>674</v>
      </c>
      <c r="G28" s="100" t="s">
        <v>675</v>
      </c>
      <c r="H28" s="13"/>
    </row>
    <row r="29" customFormat="false" ht="18.75" hidden="false" customHeight="true" outlineLevel="0" collapsed="false">
      <c r="A29" s="8"/>
      <c r="B29" s="87" t="s">
        <v>676</v>
      </c>
      <c r="C29" s="11" t="s">
        <v>311</v>
      </c>
      <c r="D29" s="11" t="s">
        <v>677</v>
      </c>
      <c r="E29" s="11" t="s">
        <v>677</v>
      </c>
      <c r="F29" s="11" t="s">
        <v>678</v>
      </c>
      <c r="G29" s="101" t="s">
        <v>679</v>
      </c>
      <c r="H29" s="8"/>
    </row>
    <row r="30" customFormat="false" ht="18.75" hidden="false" customHeight="true" outlineLevel="0" collapsed="false">
      <c r="A30" s="13"/>
      <c r="B30" s="83" t="s">
        <v>680</v>
      </c>
      <c r="C30" s="16" t="s">
        <v>311</v>
      </c>
      <c r="D30" s="16" t="s">
        <v>681</v>
      </c>
      <c r="E30" s="16" t="s">
        <v>682</v>
      </c>
      <c r="F30" s="16" t="s">
        <v>683</v>
      </c>
      <c r="G30" s="100" t="s">
        <v>684</v>
      </c>
      <c r="H30" s="13"/>
    </row>
    <row r="31" customFormat="false" ht="18.75" hidden="false" customHeight="true" outlineLevel="0" collapsed="false">
      <c r="A31" s="8"/>
      <c r="B31" s="87" t="s">
        <v>685</v>
      </c>
      <c r="C31" s="11" t="s">
        <v>311</v>
      </c>
      <c r="D31" s="11" t="s">
        <v>686</v>
      </c>
      <c r="E31" s="11" t="s">
        <v>687</v>
      </c>
      <c r="F31" s="11" t="s">
        <v>688</v>
      </c>
      <c r="G31" s="101" t="s">
        <v>689</v>
      </c>
      <c r="H31" s="8"/>
    </row>
    <row r="32" customFormat="false" ht="18.75" hidden="false" customHeight="true" outlineLevel="0" collapsed="false">
      <c r="A32" s="13"/>
      <c r="B32" s="83" t="s">
        <v>690</v>
      </c>
      <c r="C32" s="16" t="s">
        <v>311</v>
      </c>
      <c r="D32" s="16" t="s">
        <v>691</v>
      </c>
      <c r="E32" s="16" t="s">
        <v>692</v>
      </c>
      <c r="F32" s="16" t="s">
        <v>693</v>
      </c>
      <c r="G32" s="100" t="s">
        <v>694</v>
      </c>
      <c r="H32" s="13"/>
    </row>
    <row r="33" customFormat="false" ht="18.75" hidden="false" customHeight="true" outlineLevel="0" collapsed="false">
      <c r="A33" s="8"/>
      <c r="B33" s="87" t="s">
        <v>695</v>
      </c>
      <c r="C33" s="11" t="s">
        <v>311</v>
      </c>
      <c r="D33" s="11" t="s">
        <v>696</v>
      </c>
      <c r="E33" s="11" t="s">
        <v>697</v>
      </c>
      <c r="F33" s="11" t="s">
        <v>698</v>
      </c>
      <c r="G33" s="101" t="s">
        <v>699</v>
      </c>
      <c r="H33" s="8"/>
    </row>
    <row r="34" customFormat="false" ht="18" hidden="false" customHeight="true" outlineLevel="0" collapsed="false"/>
    <row r="35" customFormat="false" ht="21.75" hidden="false" customHeight="true" outlineLevel="0" collapsed="false">
      <c r="A35" s="97"/>
      <c r="B35" s="99" t="s">
        <v>700</v>
      </c>
      <c r="C35" s="99"/>
      <c r="D35" s="99"/>
      <c r="E35" s="99"/>
      <c r="F35" s="99"/>
      <c r="G35" s="99"/>
      <c r="H35" s="97"/>
    </row>
    <row r="36" customFormat="false" ht="18.75" hidden="false" customHeight="true" outlineLevel="0" collapsed="false">
      <c r="A36" s="13"/>
      <c r="B36" s="83" t="s">
        <v>701</v>
      </c>
      <c r="C36" s="16" t="s">
        <v>702</v>
      </c>
      <c r="D36" s="16" t="s">
        <v>702</v>
      </c>
      <c r="E36" s="16" t="s">
        <v>702</v>
      </c>
      <c r="F36" s="16" t="s">
        <v>703</v>
      </c>
      <c r="G36" s="100" t="s">
        <v>704</v>
      </c>
      <c r="H36" s="13"/>
    </row>
    <row r="37" customFormat="false" ht="18.75" hidden="false" customHeight="true" outlineLevel="0" collapsed="false">
      <c r="A37" s="8"/>
      <c r="B37" s="87" t="s">
        <v>705</v>
      </c>
      <c r="C37" s="11" t="s">
        <v>706</v>
      </c>
      <c r="D37" s="11" t="s">
        <v>707</v>
      </c>
      <c r="E37" s="11" t="s">
        <v>708</v>
      </c>
      <c r="F37" s="11" t="s">
        <v>709</v>
      </c>
      <c r="G37" s="101" t="s">
        <v>710</v>
      </c>
      <c r="H37" s="8"/>
    </row>
    <row r="38" customFormat="false" ht="18.75" hidden="false" customHeight="true" outlineLevel="0" collapsed="false">
      <c r="A38" s="13"/>
      <c r="B38" s="83" t="s">
        <v>711</v>
      </c>
      <c r="C38" s="16" t="s">
        <v>712</v>
      </c>
      <c r="D38" s="16" t="s">
        <v>713</v>
      </c>
      <c r="E38" s="16" t="s">
        <v>714</v>
      </c>
      <c r="F38" s="16" t="s">
        <v>715</v>
      </c>
      <c r="G38" s="100" t="s">
        <v>716</v>
      </c>
      <c r="H38" s="13"/>
    </row>
    <row r="39" customFormat="false" ht="18.75" hidden="false" customHeight="true" outlineLevel="0" collapsed="false">
      <c r="A39" s="8"/>
      <c r="B39" s="87" t="s">
        <v>717</v>
      </c>
      <c r="C39" s="11" t="s">
        <v>597</v>
      </c>
      <c r="D39" s="11" t="s">
        <v>597</v>
      </c>
      <c r="E39" s="11" t="s">
        <v>597</v>
      </c>
      <c r="F39" s="11" t="s">
        <v>597</v>
      </c>
      <c r="G39" s="101" t="s">
        <v>718</v>
      </c>
      <c r="H39" s="8"/>
    </row>
    <row r="40" customFormat="false" ht="18.75" hidden="false" customHeight="true" outlineLevel="0" collapsed="false">
      <c r="A40" s="13"/>
      <c r="B40" s="83" t="s">
        <v>719</v>
      </c>
      <c r="C40" s="16" t="s">
        <v>597</v>
      </c>
      <c r="D40" s="16" t="s">
        <v>597</v>
      </c>
      <c r="E40" s="16" t="s">
        <v>597</v>
      </c>
      <c r="F40" s="16" t="s">
        <v>597</v>
      </c>
      <c r="G40" s="100" t="s">
        <v>720</v>
      </c>
      <c r="H40" s="13"/>
    </row>
    <row r="41" customFormat="false" ht="18.75" hidden="false" customHeight="true" outlineLevel="0" collapsed="false">
      <c r="A41" s="8"/>
      <c r="B41" s="87" t="s">
        <v>721</v>
      </c>
      <c r="C41" s="11" t="s">
        <v>722</v>
      </c>
      <c r="D41" s="11" t="s">
        <v>723</v>
      </c>
      <c r="E41" s="11" t="s">
        <v>724</v>
      </c>
      <c r="F41" s="11" t="s">
        <v>725</v>
      </c>
      <c r="G41" s="101" t="s">
        <v>726</v>
      </c>
      <c r="H41" s="8"/>
    </row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</sheetData>
  <mergeCells count="6">
    <mergeCell ref="B2:G2"/>
    <mergeCell ref="B5:G5"/>
    <mergeCell ref="B12:G12"/>
    <mergeCell ref="B20:G20"/>
    <mergeCell ref="B27:G27"/>
    <mergeCell ref="B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2026-04-19T02:13:15Z</dcterms:created>
  <dc:creator>openpyxl</dc:creator>
  <dc:description/>
  <dc:language>en-US</dc:language>
  <cp:lastModifiedBy/>
  <dcterms:modified xsi:type="dcterms:W3CDTF">2026-04-19T02:13:32Z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